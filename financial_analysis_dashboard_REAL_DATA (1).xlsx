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uis\Downloads\"/>
    </mc:Choice>
  </mc:AlternateContent>
  <xr:revisionPtr revIDLastSave="0" documentId="8_{57FB957F-596D-4B4B-8868-F5FB66E9C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ompany Data" sheetId="2" r:id="rId2"/>
    <sheet name="Notes" sheetId="3" r:id="rId3"/>
    <sheet name="Chart Engi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F21" i="1"/>
  <c r="I9" i="1"/>
  <c r="I8" i="1"/>
  <c r="G9" i="1"/>
  <c r="G8" i="1"/>
  <c r="E9" i="1"/>
  <c r="E8" i="1"/>
  <c r="D9" i="1"/>
  <c r="D8" i="1"/>
  <c r="B9" i="1"/>
  <c r="B8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14" i="1"/>
  <c r="C14" i="1"/>
  <c r="D14" i="1"/>
  <c r="E14" i="1"/>
  <c r="F14" i="1"/>
  <c r="G14" i="1"/>
  <c r="H14" i="1"/>
  <c r="I14" i="1"/>
  <c r="J13" i="1"/>
  <c r="C32" i="4"/>
  <c r="D32" i="4"/>
  <c r="F32" i="4"/>
  <c r="C33" i="4"/>
  <c r="D33" i="4"/>
  <c r="F33" i="4"/>
  <c r="C34" i="4"/>
  <c r="D34" i="4"/>
  <c r="C35" i="4"/>
  <c r="D35" i="4"/>
  <c r="F35" i="4" s="1"/>
  <c r="C36" i="4"/>
  <c r="D36" i="4"/>
  <c r="F36" i="4" s="1"/>
  <c r="B4" i="4"/>
  <c r="B5" i="4" s="1"/>
  <c r="B7" i="4"/>
  <c r="B32" i="4" s="1"/>
  <c r="E32" i="4" s="1"/>
  <c r="B6" i="4" l="1" a="1"/>
  <c r="B6" i="4" s="1"/>
  <c r="C19" i="4" s="1"/>
  <c r="B19" i="4" s="1"/>
  <c r="G19" i="4" s="1"/>
  <c r="B33" i="4"/>
  <c r="E33" i="4" s="1"/>
  <c r="B34" i="4"/>
  <c r="E34" i="4" s="1"/>
  <c r="B35" i="4"/>
  <c r="E35" i="4" s="1"/>
  <c r="B36" i="4"/>
  <c r="E36" i="4" s="1"/>
  <c r="C27" i="4"/>
  <c r="B27" i="4"/>
  <c r="A27" i="4"/>
  <c r="F34" i="4"/>
  <c r="E19" i="4" l="1"/>
  <c r="D19" i="4"/>
  <c r="F19" i="4"/>
  <c r="C22" i="4"/>
  <c r="B22" i="4" s="1"/>
  <c r="C21" i="4"/>
  <c r="B21" i="4" s="1"/>
  <c r="C20" i="4"/>
  <c r="B20" i="4" s="1"/>
  <c r="J19" i="1" a="1"/>
  <c r="J19" i="1" s="1"/>
  <c r="C23" i="4"/>
  <c r="B23" i="4" s="1"/>
  <c r="J18" i="1" a="1"/>
  <c r="J18" i="1" s="1"/>
  <c r="J16" i="1" a="1"/>
  <c r="J16" i="1" s="1"/>
  <c r="J15" i="1" a="1"/>
  <c r="J15" i="1" s="1"/>
  <c r="J17" i="1" a="1"/>
  <c r="J17" i="1" s="1"/>
  <c r="D23" i="4" l="1"/>
  <c r="G23" i="4"/>
  <c r="F23" i="4"/>
  <c r="E23" i="4"/>
  <c r="G22" i="4"/>
  <c r="F22" i="4"/>
  <c r="E22" i="4"/>
  <c r="D22" i="4"/>
  <c r="G20" i="4"/>
  <c r="F20" i="4"/>
  <c r="E20" i="4"/>
  <c r="D20" i="4"/>
  <c r="G21" i="4"/>
  <c r="F21" i="4"/>
  <c r="E21" i="4"/>
  <c r="D2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<sst xmlns="http://schemas.openxmlformats.org/spreadsheetml/2006/main" count="119" uniqueCount="98">
  <si>
    <t>Ticker</t>
  </si>
  <si>
    <t>Company</t>
  </si>
  <si>
    <t>Sector</t>
  </si>
  <si>
    <t>Annualized Return</t>
  </si>
  <si>
    <t>Annualized Volatility</t>
  </si>
  <si>
    <t>Sharpe Ratio</t>
  </si>
  <si>
    <t>Revenue CAGR</t>
  </si>
  <si>
    <t>Operating Margin</t>
  </si>
  <si>
    <t>Value</t>
  </si>
  <si>
    <t>AAPL</t>
  </si>
  <si>
    <t>Apple</t>
  </si>
  <si>
    <t>Technology</t>
  </si>
  <si>
    <t>AMZN</t>
  </si>
  <si>
    <t>Amazon</t>
  </si>
  <si>
    <t>Consumer / Cloud</t>
  </si>
  <si>
    <t>GOOGL</t>
  </si>
  <si>
    <t>Alphabet</t>
  </si>
  <si>
    <t>Digital Advertising / Cloud</t>
  </si>
  <si>
    <t>MSFT</t>
  </si>
  <si>
    <t>Microsoft</t>
  </si>
  <si>
    <t>NVDA</t>
  </si>
  <si>
    <t>Nvidia</t>
  </si>
  <si>
    <t>Semiconductors</t>
  </si>
  <si>
    <t>PROJECT NOTES</t>
  </si>
  <si>
    <t>Topic</t>
  </si>
  <si>
    <t>Meaning</t>
  </si>
  <si>
    <t>Annualized return</t>
  </si>
  <si>
    <t>Compound annual growth of the share price over the sample</t>
  </si>
  <si>
    <t>Volatility</t>
  </si>
  <si>
    <t>Standard deviation of daily returns × √252</t>
  </si>
  <si>
    <t>Sharpe ratio</t>
  </si>
  <si>
    <t>Excess annual return divided by annualized volatility</t>
  </si>
  <si>
    <t>Compound annual growth rate of revenue</t>
  </si>
  <si>
    <t>Operating margin</t>
  </si>
  <si>
    <t>Operating income divided by revenue</t>
  </si>
  <si>
    <t>Data status</t>
  </si>
  <si>
    <t>Real results generated by the executed Python pipeline in analysis_notebook.ipynb</t>
  </si>
  <si>
    <t>Market data</t>
  </si>
  <si>
    <t>Historical adjusted share-price data downloaded through yfinance</t>
  </si>
  <si>
    <t>Fundamentals</t>
  </si>
  <si>
    <t>Annual revenue and operating income downloaded through yfinance financial statements</t>
  </si>
  <si>
    <t>Analysis period</t>
  </si>
  <si>
    <t>2021–2025</t>
  </si>
  <si>
    <t>Companies</t>
  </si>
  <si>
    <t>Apple, Amazon, Alphabet, Microsoft, Nvidia</t>
  </si>
  <si>
    <t>CHART ENGINE</t>
  </si>
  <si>
    <t>Helper calcs feeding the Dashboard charts &amp; selectors — driven by Dashboard!C11 and Dashboard!F11</t>
  </si>
  <si>
    <t>Selected metric</t>
  </si>
  <si>
    <t>Metric column #</t>
  </si>
  <si>
    <t>Rank order (0 = high→low, 1 = low→high)</t>
  </si>
  <si>
    <t>Focus ticker</t>
  </si>
  <si>
    <t>Metric</t>
  </si>
  <si>
    <t>Higher is better?</t>
  </si>
  <si>
    <t>RANK order</t>
  </si>
  <si>
    <t>Yes</t>
  </si>
  <si>
    <t>No</t>
  </si>
  <si>
    <t>RANKING — sorted by selected metric (feeds Ranking chart)</t>
  </si>
  <si>
    <t>Pos</t>
  </si>
  <si>
    <t>Others (%)</t>
  </si>
  <si>
    <t>Focus (%)</t>
  </si>
  <si>
    <t>Others (x)</t>
  </si>
  <si>
    <t>Focus (x)</t>
  </si>
  <si>
    <t>FOCUS POINT (Risk/Return map)</t>
  </si>
  <si>
    <t>Return</t>
  </si>
  <si>
    <t>FOCUS PROFILE — scores vs best-in-universe (1.0 = best)</t>
  </si>
  <si>
    <t>Focus raw</t>
  </si>
  <si>
    <t>Universe avg raw</t>
  </si>
  <si>
    <t>Best in universe</t>
  </si>
  <si>
    <t>Focus score</t>
  </si>
  <si>
    <t>Universe avg score</t>
  </si>
  <si>
    <t>Label</t>
  </si>
  <si>
    <t>Low Volatility</t>
  </si>
  <si>
    <t>Sharpe</t>
  </si>
  <si>
    <t>Revenue Growth</t>
  </si>
  <si>
    <t>Op. Margin</t>
  </si>
  <si>
    <t>TECH FUNDAMENTALS</t>
  </si>
  <si>
    <t>VS.  STOCK  PERFORMANCE</t>
  </si>
  <si>
    <t>Historical market &amp; financial-statement data processed in Python  ·  2021–2025 analysis period</t>
  </si>
  <si>
    <t>2021 → 2025</t>
  </si>
  <si>
    <t>5 MEGA-CAPS</t>
  </si>
  <si>
    <t>▌ SCOREBOARD</t>
  </si>
  <si>
    <t>Rank</t>
  </si>
  <si>
    <t>AVG RETURN</t>
  </si>
  <si>
    <t>AVG VOLATILITY</t>
  </si>
  <si>
    <t>AVG SHARPE</t>
  </si>
  <si>
    <t>AVG REVENUE CAGR</t>
  </si>
  <si>
    <t>AVG OP. MARGIN</t>
  </si>
  <si>
    <t>FOCUS ▸</t>
  </si>
  <si>
    <t>RANK BY ▸</t>
  </si>
  <si>
    <t xml:space="preserve">  ← pick a ticker</t>
  </si>
  <si>
    <t xml:space="preserve">  ← every chart &amp; rank reacts</t>
  </si>
  <si>
    <t>▌ RISK / RETURN MAP</t>
  </si>
  <si>
    <t>▌ DOES REVENUE GROWTH = STOCK RETURN?</t>
  </si>
  <si>
    <t>Light-blue = hardcoded inputs from the Python pipeline. Edit here → Dashboard updates.</t>
  </si>
  <si>
    <t>Light-blue numbers</t>
  </si>
  <si>
    <t>Hardcoded inputs on Company Data that can be replaced</t>
  </si>
  <si>
    <t>Dashboard selectors</t>
  </si>
  <si>
    <t>FOCUS (C11) and RANK BY (F11) dropdowns drive the table highlight, ranks and all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</si>
</sst>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%"/>
    <numFmt numFmtId="167" formatCode="&quot;#&quot;0"/>
    <numFmt numFmtId="170" formatCode="0.000"/>
  </numFmts>
  <fonts count="30">
    <font>
      <sz val="11"/>
      <name val="Carlito"/>
    </font>
    <font>
      <sz val="11"/>
      <color rgb="FFF2F0EA"/>
      <name val="Segoe UI"/>
    </font>
    <font>
      <sz val="10"/>
      <color rgb="FFF2F0EA"/>
      <name val="Segoe UI"/>
    </font>
    <font>
      <sz val="10"/>
      <color rgb="FFF2F0EA"/>
      <name val="Bahnschrift"/>
    </font>
    <font>
      <b/>
      <sz val="26"/>
      <color rgb="FFF2F0EA"/>
      <name val="Bahnschrift"/>
    </font>
    <font>
      <b/>
      <sz val="13"/>
      <color rgb="FFD4FF3A"/>
      <name val="Bahnschrift"/>
    </font>
    <font>
      <sz val="9"/>
      <color rgb="FF7C7F88"/>
      <name val="Segoe UI"/>
    </font>
    <font>
      <b/>
      <sz val="11"/>
      <color rgb="FF0F1014"/>
      <name val="Bahnschrift"/>
    </font>
    <font>
      <b/>
      <sz val="9"/>
      <color rgb="FF7C7F88"/>
      <name val="Carlito"/>
    </font>
    <font>
      <b/>
      <sz val="10"/>
      <color rgb="FFD4FF3A"/>
      <name val="Segoe UI"/>
    </font>
    <font>
      <b/>
      <sz val="10"/>
      <color rgb="FFD4FF3A"/>
      <name val="Bahnschrift"/>
    </font>
    <font>
      <i/>
      <sz val="8"/>
      <color rgb="FF7C7F88"/>
      <name val="Segoe UI"/>
    </font>
    <font>
      <b/>
      <sz val="8"/>
      <color rgb="FF7C7F88"/>
      <name val="Segoe UI"/>
    </font>
    <font>
      <b/>
      <sz val="10"/>
      <color rgb="FFF2F0EA"/>
      <name val="Segoe UI"/>
    </font>
    <font>
      <b/>
      <sz val="10"/>
      <color rgb="FFF2F0EA"/>
      <name val="Bahnschrift"/>
    </font>
    <font>
      <b/>
      <sz val="11"/>
      <color rgb="FFF2F0EA"/>
      <name val="Bahnschrift"/>
    </font>
    <font>
      <b/>
      <sz val="8"/>
      <color rgb="FF7C7F88"/>
      <name val="Carlito"/>
    </font>
    <font>
      <b/>
      <sz val="24"/>
      <color rgb="FFF2F0EA"/>
      <name val="Bahnschrift"/>
    </font>
    <font>
      <b/>
      <sz val="8"/>
      <color rgb="FFD4FF3A"/>
      <name val="Carlito"/>
    </font>
    <font>
      <b/>
      <sz val="8"/>
      <color rgb="FFD4FF3A"/>
      <name val="Segoe UI"/>
    </font>
    <font>
      <b/>
      <sz val="9"/>
      <color rgb="FF7C7F88"/>
      <name val="Segoe UI"/>
    </font>
    <font>
      <b/>
      <sz val="12"/>
      <color rgb="FFFF5A36"/>
      <name val="Bahnschrift"/>
    </font>
    <font>
      <b/>
      <sz val="12"/>
      <color rgb="FFD4FF3A"/>
      <name val="Bahnschrift"/>
    </font>
    <font>
      <sz val="10"/>
      <color rgb="FF7FB2FF"/>
      <name val="Segoe UI"/>
    </font>
    <font>
      <sz val="10"/>
      <color rgb="FF7FB2FF"/>
      <name val="Bahnschrift"/>
    </font>
    <font>
      <b/>
      <sz val="18"/>
      <color rgb="FFD4FF3A"/>
      <name val="Bahnschrift"/>
    </font>
    <font>
      <b/>
      <sz val="10"/>
      <color rgb="FF7FB2FF"/>
      <name val="Segoe UI"/>
    </font>
    <font>
      <sz val="10"/>
      <color rgb="FFC9C7C0"/>
      <name val="Segoe UI"/>
    </font>
    <font>
      <b/>
      <sz val="16"/>
      <color rgb="FFD4FF3A"/>
      <name val="Bahnschrift"/>
    </font>
    <font>
      <sz val="10"/>
      <color rgb="FF5BE49B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F1014"/>
        <bgColor indexed="64"/>
      </patternFill>
    </fill>
    <fill>
      <patternFill patternType="solid">
        <fgColor rgb="FFD4FF3A"/>
        <bgColor indexed="64"/>
      </patternFill>
    </fill>
    <fill>
      <patternFill patternType="solid">
        <fgColor rgb="FF181A2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2A2D35"/>
      </bottom>
      <diagonal/>
    </border>
    <border>
      <left/>
      <right/>
      <top/>
      <bottom style="thin">
        <color rgb="FFD4FF3A"/>
      </bottom>
      <diagonal/>
    </border>
    <border>
      <left/>
      <right/>
      <top style="thin">
        <color rgb="FFD4FF3A"/>
      </top>
      <bottom style="thin">
        <color rgb="FF2A2D35"/>
      </bottom>
      <diagonal/>
    </border>
    <border>
      <left/>
      <right/>
      <top style="thin">
        <color rgb="FF2A2D35"/>
      </top>
      <bottom style="thin">
        <color rgb="FF2A2D35"/>
      </bottom>
      <diagonal/>
    </border>
    <border>
      <left/>
      <right/>
      <top style="thick">
        <color rgb="FFD4FF3A"/>
      </top>
      <bottom/>
      <diagonal/>
    </border>
    <border>
      <left style="thick">
        <color rgb="FF0F1014"/>
      </left>
      <right/>
      <top style="thick">
        <color rgb="FFD4FF3A"/>
      </top>
      <bottom/>
      <diagonal/>
    </border>
    <border>
      <left style="thick">
        <color rgb="FF0F1014"/>
      </left>
      <right/>
      <top/>
      <bottom/>
      <diagonal/>
    </border>
    <border>
      <left/>
      <right style="thick">
        <color rgb="FF0F1014"/>
      </right>
      <top style="thick">
        <color rgb="FFD4FF3A"/>
      </top>
      <bottom/>
      <diagonal/>
    </border>
    <border>
      <left/>
      <right style="thick">
        <color rgb="FF0F1014"/>
      </right>
      <top/>
      <bottom/>
      <diagonal/>
    </border>
    <border>
      <left style="medium">
        <color rgb="FFFF5A36"/>
      </left>
      <right style="medium">
        <color rgb="FFFF5A36"/>
      </right>
      <top style="medium">
        <color rgb="FFFF5A36"/>
      </top>
      <bottom style="medium">
        <color rgb="FFFF5A36"/>
      </bottom>
      <diagonal/>
    </border>
    <border>
      <left style="medium">
        <color rgb="FFD4FF3A"/>
      </left>
      <right/>
      <top style="medium">
        <color rgb="FFD4FF3A"/>
      </top>
      <bottom style="medium">
        <color rgb="FFD4FF3A"/>
      </bottom>
      <diagonal/>
    </border>
    <border>
      <left/>
      <right style="medium">
        <color rgb="FFD4FF3A"/>
      </right>
      <top style="medium">
        <color rgb="FFD4FF3A"/>
      </top>
      <bottom style="medium">
        <color rgb="FFD4FF3A"/>
      </bottom>
      <diagonal/>
    </border>
    <border>
      <left/>
      <right/>
      <top/>
      <bottom style="thin">
        <color rgb="FF2A2D35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4" fillId="2" borderId="5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0" fontId="15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6" fontId="3" fillId="2" borderId="4" xfId="0" applyNumberFormat="1" applyFont="1" applyFill="1" applyBorder="1" applyAlignment="1">
      <alignment horizontal="center" vertical="center"/>
    </xf>
    <xf numFmtId="166" fontId="3" fillId="2" borderId="5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167" fontId="14" fillId="2" borderId="4" xfId="0" applyNumberFormat="1" applyFont="1" applyFill="1" applyBorder="1" applyAlignment="1">
      <alignment horizontal="center" vertical="center"/>
    </xf>
    <xf numFmtId="167" fontId="14" fillId="2" borderId="5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indent="1"/>
    </xf>
    <xf numFmtId="0" fontId="0" fillId="4" borderId="6" xfId="0" applyFill="1" applyBorder="1" applyAlignment="1">
      <alignment horizontal="left" indent="1"/>
    </xf>
    <xf numFmtId="0" fontId="0" fillId="4" borderId="9" xfId="0" applyFill="1" applyBorder="1" applyAlignment="1">
      <alignment horizontal="left" indent="1"/>
    </xf>
    <xf numFmtId="0" fontId="0" fillId="4" borderId="10" xfId="0" applyFill="1" applyBorder="1" applyAlignment="1">
      <alignment horizontal="left" indent="1"/>
    </xf>
    <xf numFmtId="0" fontId="16" fillId="4" borderId="7" xfId="0" applyFont="1" applyFill="1" applyBorder="1" applyAlignment="1">
      <alignment horizontal="left" indent="1"/>
    </xf>
    <xf numFmtId="166" fontId="17" fillId="4" borderId="8" xfId="0" applyNumberFormat="1" applyFont="1" applyFill="1" applyBorder="1" applyAlignment="1">
      <alignment horizontal="left" indent="1"/>
    </xf>
    <xf numFmtId="0" fontId="18" fillId="4" borderId="8" xfId="0" applyFont="1" applyFill="1" applyBorder="1" applyAlignment="1">
      <alignment horizontal="left" indent="1"/>
    </xf>
    <xf numFmtId="166" fontId="2" fillId="2" borderId="0" xfId="0" applyNumberFormat="1" applyFont="1" applyFill="1" applyAlignment="1">
      <alignment vertical="center"/>
    </xf>
    <xf numFmtId="0" fontId="12" fillId="4" borderId="7" xfId="0" applyFont="1" applyFill="1" applyBorder="1" applyAlignment="1">
      <alignment horizontal="left" vertical="center" indent="1"/>
    </xf>
    <xf numFmtId="166" fontId="17" fillId="4" borderId="8" xfId="0" applyNumberFormat="1" applyFont="1" applyFill="1" applyBorder="1" applyAlignment="1">
      <alignment horizontal="left" vertical="center" indent="1"/>
    </xf>
    <xf numFmtId="0" fontId="19" fillId="4" borderId="8" xfId="0" applyFont="1" applyFill="1" applyBorder="1" applyAlignment="1">
      <alignment horizontal="left" vertical="center" indent="1"/>
    </xf>
    <xf numFmtId="2" fontId="17" fillId="4" borderId="8" xfId="0" applyNumberFormat="1" applyFont="1" applyFill="1" applyBorder="1" applyAlignment="1">
      <alignment horizontal="left" indent="1"/>
    </xf>
    <xf numFmtId="0" fontId="20" fillId="2" borderId="0" xfId="0" applyFont="1" applyFill="1" applyAlignment="1">
      <alignment horizontal="right" vertical="center"/>
    </xf>
    <xf numFmtId="0" fontId="21" fillId="4" borderId="11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/>
    </xf>
    <xf numFmtId="0" fontId="0" fillId="2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0" fontId="22" fillId="4" borderId="13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166" fontId="24" fillId="2" borderId="4" xfId="0" applyNumberFormat="1" applyFont="1" applyFill="1" applyBorder="1" applyAlignment="1">
      <alignment horizontal="center" vertical="center"/>
    </xf>
    <xf numFmtId="166" fontId="24" fillId="2" borderId="5" xfId="0" applyNumberFormat="1" applyFont="1" applyFill="1" applyBorder="1" applyAlignment="1">
      <alignment horizontal="center" vertical="center"/>
    </xf>
    <xf numFmtId="2" fontId="24" fillId="2" borderId="4" xfId="0" applyNumberFormat="1" applyFont="1" applyFill="1" applyBorder="1" applyAlignment="1">
      <alignment horizontal="center" vertical="center"/>
    </xf>
    <xf numFmtId="2" fontId="24" fillId="2" borderId="5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0" fillId="2" borderId="3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26" fillId="2" borderId="4" xfId="0" applyFont="1" applyFill="1" applyBorder="1" applyAlignment="1">
      <alignment vertical="center"/>
    </xf>
    <xf numFmtId="0" fontId="27" fillId="2" borderId="4" xfId="0" applyFont="1" applyFill="1" applyBorder="1" applyAlignment="1">
      <alignment vertical="center" wrapText="1"/>
    </xf>
    <xf numFmtId="0" fontId="27" fillId="2" borderId="5" xfId="0" applyFont="1" applyFill="1" applyBorder="1" applyAlignment="1">
      <alignment vertical="center" wrapText="1"/>
    </xf>
    <xf numFmtId="0" fontId="27" fillId="2" borderId="0" xfId="0" applyFont="1" applyFill="1" applyAlignment="1">
      <alignment vertical="center"/>
    </xf>
    <xf numFmtId="0" fontId="27" fillId="2" borderId="14" xfId="0" applyFont="1" applyFill="1" applyBorder="1" applyAlignment="1">
      <alignment vertical="center" wrapText="1"/>
    </xf>
    <xf numFmtId="2" fontId="2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0" fontId="29" fillId="2" borderId="0" xfId="0" applyFont="1" applyFill="1" applyAlignment="1">
      <alignment vertical="center"/>
    </xf>
    <xf numFmtId="170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5">
    <dxf>
      <font>
        <color rgb="FFD4FF3A"/>
      </font>
    </dxf>
    <dxf>
      <font>
        <b/>
        <i val="0"/>
        <color rgb="FFD4FF3A"/>
      </font>
    </dxf>
    <dxf>
      <font>
        <color rgb="FF0F1014"/>
      </font>
      <fill>
        <patternFill patternType="solid">
          <fgColor indexed="64"/>
          <bgColor rgb="FFD4FF3A"/>
        </patternFill>
      </fill>
    </dxf>
    <dxf>
      <font>
        <color rgb="FFFF5A36"/>
      </font>
      <fill>
        <patternFill patternType="solid">
          <fgColor indexed="64"/>
          <bgColor rgb="FF2B1610"/>
        </patternFill>
      </fill>
    </dxf>
    <dxf>
      <font>
        <color rgb="FFFFFFFF"/>
      </font>
      <fill>
        <patternFill patternType="solid">
          <fgColor indexed="64"/>
          <bgColor rgb="FF2B16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AAPL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F2F0EA"/>
              </a:solidFill>
              <a:ln w="9525">
                <a:solidFill>
                  <a:srgbClr val="F2F0EA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2F0EA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'Company Data'!$E$2</c:f>
              <c:numCache>
                <c:formatCode>0.0%</c:formatCode>
                <c:ptCount val="1"/>
                <c:pt idx="0">
                  <c:v>0.27862599999999998</c:v>
                </c:pt>
              </c:numCache>
            </c:numRef>
          </c:xVal>
          <c:yVal>
            <c:numRef>
              <c:f>'Company Data'!$D$2</c:f>
              <c:numCache>
                <c:formatCode>0.0%</c:formatCode>
                <c:ptCount val="1"/>
                <c:pt idx="0">
                  <c:v>0.16672500000000001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5-469F-AC08-02D2625B3D26}"/>
            </c:ext>
          </c:extLst>
        </c:ser>
        <c:ser>
          <c:idx val="1"/>
          <c:order val="1"/>
          <c:tx>
            <c:v>AMZN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F2F0EA"/>
              </a:solidFill>
              <a:ln w="9525">
                <a:solidFill>
                  <a:srgbClr val="F2F0EA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2F0EA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'Company Data'!$E$3</c:f>
              <c:numCache>
                <c:formatCode>0.0%</c:formatCode>
                <c:ptCount val="1"/>
                <c:pt idx="0">
                  <c:v>0.35105999999999998</c:v>
                </c:pt>
              </c:numCache>
            </c:numRef>
          </c:xVal>
          <c:yVal>
            <c:numRef>
              <c:f>'Company Data'!$D$3</c:f>
              <c:numCache>
                <c:formatCode>0.0%</c:formatCode>
                <c:ptCount val="1"/>
                <c:pt idx="0">
                  <c:v>7.7132999999999993E-2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35-469F-AC08-02D2625B3D26}"/>
            </c:ext>
          </c:extLst>
        </c:ser>
        <c:ser>
          <c:idx val="2"/>
          <c:order val="2"/>
          <c:tx>
            <c:v>GOOGL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F2F0EA"/>
              </a:solidFill>
              <a:ln w="9525">
                <a:solidFill>
                  <a:srgbClr val="F2F0EA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2F0EA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'Company Data'!$E$4</c:f>
              <c:numCache>
                <c:formatCode>0.0%</c:formatCode>
                <c:ptCount val="1"/>
                <c:pt idx="0">
                  <c:v>0.31145499999999998</c:v>
                </c:pt>
              </c:numCache>
            </c:numRef>
          </c:xVal>
          <c:yVal>
            <c:numRef>
              <c:f>'Company Data'!$D$4</c:f>
              <c:numCache>
                <c:formatCode>0.0%</c:formatCode>
                <c:ptCount val="1"/>
                <c:pt idx="0">
                  <c:v>0.29663099999999998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35-469F-AC08-02D2625B3D26}"/>
            </c:ext>
          </c:extLst>
        </c:ser>
        <c:ser>
          <c:idx val="3"/>
          <c:order val="3"/>
          <c:tx>
            <c:v>MSFT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F2F0EA"/>
              </a:solidFill>
              <a:ln w="9525">
                <a:solidFill>
                  <a:srgbClr val="F2F0EA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2F0EA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'Company Data'!$E$5</c:f>
              <c:numCache>
                <c:formatCode>0.0%</c:formatCode>
                <c:ptCount val="1"/>
                <c:pt idx="0">
                  <c:v>0.25714300000000001</c:v>
                </c:pt>
              </c:numCache>
            </c:numRef>
          </c:xVal>
          <c:yVal>
            <c:numRef>
              <c:f>'Company Data'!$D$5</c:f>
              <c:numCache>
                <c:formatCode>0.0%</c:formatCode>
                <c:ptCount val="1"/>
                <c:pt idx="0">
                  <c:v>0.18328900000000001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35-469F-AC08-02D2625B3D26}"/>
            </c:ext>
          </c:extLst>
        </c:ser>
        <c:ser>
          <c:idx val="4"/>
          <c:order val="4"/>
          <c:tx>
            <c:v>NVDA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F2F0EA"/>
              </a:solidFill>
              <a:ln w="9525">
                <a:solidFill>
                  <a:srgbClr val="F2F0EA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2F0EA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'Company Data'!$E$6</c:f>
              <c:numCache>
                <c:formatCode>0.0%</c:formatCode>
                <c:ptCount val="1"/>
                <c:pt idx="0">
                  <c:v>0.52224700000000002</c:v>
                </c:pt>
              </c:numCache>
            </c:numRef>
          </c:xVal>
          <c:yVal>
            <c:numRef>
              <c:f>'Company Data'!$D$6</c:f>
              <c:numCache>
                <c:formatCode>0.0%</c:formatCode>
                <c:ptCount val="1"/>
                <c:pt idx="0">
                  <c:v>0.703627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35-469F-AC08-02D2625B3D26}"/>
            </c:ext>
          </c:extLst>
        </c:ser>
        <c:ser>
          <c:idx val="5"/>
          <c:order val="5"/>
          <c:tx>
            <c:v>Focus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rgbClr val="FF5A36"/>
              </a:solidFill>
              <a:ln w="9525">
                <a:solidFill>
                  <a:srgbClr val="FFB199"/>
                </a:solidFill>
                <a:prstDash val="solid"/>
              </a:ln>
              <a:effectLst/>
            </c:spPr>
          </c:marker>
          <c:xVal>
            <c:numRef>
              <c:f>'Chart Engine'!$B$27</c:f>
              <c:numCache>
                <c:formatCode>0.0%</c:formatCode>
                <c:ptCount val="1"/>
                <c:pt idx="0">
                  <c:v>0.35105999999999998</c:v>
                </c:pt>
              </c:numCache>
            </c:numRef>
          </c:xVal>
          <c:yVal>
            <c:numRef>
              <c:f>'Chart Engine'!$C$27</c:f>
              <c:numCache>
                <c:formatCode>0.0%</c:formatCode>
                <c:ptCount val="1"/>
                <c:pt idx="0">
                  <c:v>7.7132999999999993E-2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35-469F-AC08-02D2625B3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622111"/>
        <c:axId val="1924653967"/>
      </c:scatterChart>
      <c:valAx>
        <c:axId val="2042622111"/>
        <c:scaling>
          <c:orientation val="minMax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8A8D96"/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fr-FR"/>
                  <a:t>Volatility 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8A8D96"/>
                  </a:solidFill>
                  <a:latin typeface="Segoe UI"/>
                  <a:ea typeface="Segoe UI"/>
                  <a:cs typeface="Segoe UI"/>
                </a:defRPr>
              </a:pPr>
              <a:endParaRPr lang="fr-F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2A2D35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8D96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1924653967"/>
        <c:crosses val="autoZero"/>
        <c:crossBetween val="midCat"/>
      </c:valAx>
      <c:valAx>
        <c:axId val="192465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A2D3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8A8D96"/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fr-FR"/>
                  <a:t>Return 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8A8D96"/>
                  </a:solidFill>
                  <a:latin typeface="Segoe UI"/>
                  <a:ea typeface="Segoe UI"/>
                  <a:cs typeface="Segoe UI"/>
                </a:defRPr>
              </a:pPr>
              <a:endParaRPr lang="fr-F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2A2D35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8D96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204262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5171C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8A8D96"/>
          </a:solidFill>
          <a:latin typeface="Segoe UI"/>
          <a:ea typeface="Segoe UI"/>
          <a:cs typeface="Segoe U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Engine'!$D$18</c:f>
              <c:strCache>
                <c:ptCount val="1"/>
                <c:pt idx="0">
                  <c:v>Others (%)</c:v>
                </c:pt>
              </c:strCache>
            </c:strRef>
          </c:tx>
          <c:spPr>
            <a:solidFill>
              <a:srgbClr val="D4FF3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F1014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Engine'!$B$19:$B$23</c:f>
              <c:strCache>
                <c:ptCount val="5"/>
                <c:pt idx="0">
                  <c:v>NVDA</c:v>
                </c:pt>
                <c:pt idx="1">
                  <c:v>GOOGL</c:v>
                </c:pt>
                <c:pt idx="2">
                  <c:v>MSFT</c:v>
                </c:pt>
                <c:pt idx="3">
                  <c:v>AAPL</c:v>
                </c:pt>
                <c:pt idx="4">
                  <c:v>AMZN</c:v>
                </c:pt>
              </c:strCache>
            </c:strRef>
          </c:cat>
          <c:val>
            <c:numRef>
              <c:f>'Chart Engine'!$D$19:$D$23</c:f>
              <c:numCache>
                <c:formatCode>0.0%</c:formatCode>
                <c:ptCount val="5"/>
                <c:pt idx="0">
                  <c:v>0.703627</c:v>
                </c:pt>
                <c:pt idx="1">
                  <c:v>0.29663099999999998</c:v>
                </c:pt>
                <c:pt idx="2">
                  <c:v>0.18328900000000001</c:v>
                </c:pt>
                <c:pt idx="3">
                  <c:v>0.16672500000000001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A-4A23-BC0E-3002546111F1}"/>
            </c:ext>
          </c:extLst>
        </c:ser>
        <c:ser>
          <c:idx val="1"/>
          <c:order val="1"/>
          <c:tx>
            <c:strRef>
              <c:f>'Chart Engine'!$E$18</c:f>
              <c:strCache>
                <c:ptCount val="1"/>
                <c:pt idx="0">
                  <c:v>Focus (%)</c:v>
                </c:pt>
              </c:strCache>
            </c:strRef>
          </c:tx>
          <c:spPr>
            <a:solidFill>
              <a:srgbClr val="FF5A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F1014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Engine'!$B$19:$B$23</c:f>
              <c:strCache>
                <c:ptCount val="5"/>
                <c:pt idx="0">
                  <c:v>NVDA</c:v>
                </c:pt>
                <c:pt idx="1">
                  <c:v>GOOGL</c:v>
                </c:pt>
                <c:pt idx="2">
                  <c:v>MSFT</c:v>
                </c:pt>
                <c:pt idx="3">
                  <c:v>AAPL</c:v>
                </c:pt>
                <c:pt idx="4">
                  <c:v>AMZN</c:v>
                </c:pt>
              </c:strCache>
            </c:strRef>
          </c:cat>
          <c:val>
            <c:numRef>
              <c:f>'Chart Engine'!$E$19:$E$23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7.7132999999999993E-2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A-4A23-BC0E-3002546111F1}"/>
            </c:ext>
          </c:extLst>
        </c:ser>
        <c:ser>
          <c:idx val="2"/>
          <c:order val="2"/>
          <c:tx>
            <c:strRef>
              <c:f>'Chart Engine'!$F$18</c:f>
              <c:strCache>
                <c:ptCount val="1"/>
                <c:pt idx="0">
                  <c:v>Others (x)</c:v>
                </c:pt>
              </c:strCache>
            </c:strRef>
          </c:tx>
          <c:spPr>
            <a:solidFill>
              <a:srgbClr val="D4FF3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F1014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Engine'!$B$19:$B$23</c:f>
              <c:strCache>
                <c:ptCount val="5"/>
                <c:pt idx="0">
                  <c:v>NVDA</c:v>
                </c:pt>
                <c:pt idx="1">
                  <c:v>GOOGL</c:v>
                </c:pt>
                <c:pt idx="2">
                  <c:v>MSFT</c:v>
                </c:pt>
                <c:pt idx="3">
                  <c:v>AAPL</c:v>
                </c:pt>
                <c:pt idx="4">
                  <c:v>AMZN</c:v>
                </c:pt>
              </c:strCache>
            </c:strRef>
          </c:cat>
          <c:val>
            <c:numRef>
              <c:f>'Chart Engine'!$F$19:$F$23</c:f>
              <c:numCache>
                <c:formatCode>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5A-4A23-BC0E-3002546111F1}"/>
            </c:ext>
          </c:extLst>
        </c:ser>
        <c:ser>
          <c:idx val="3"/>
          <c:order val="3"/>
          <c:tx>
            <c:strRef>
              <c:f>'Chart Engine'!$G$18</c:f>
              <c:strCache>
                <c:ptCount val="1"/>
                <c:pt idx="0">
                  <c:v>Focus (x)</c:v>
                </c:pt>
              </c:strCache>
            </c:strRef>
          </c:tx>
          <c:spPr>
            <a:solidFill>
              <a:srgbClr val="FF5A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F1014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Engine'!$B$19:$B$23</c:f>
              <c:strCache>
                <c:ptCount val="5"/>
                <c:pt idx="0">
                  <c:v>NVDA</c:v>
                </c:pt>
                <c:pt idx="1">
                  <c:v>GOOGL</c:v>
                </c:pt>
                <c:pt idx="2">
                  <c:v>MSFT</c:v>
                </c:pt>
                <c:pt idx="3">
                  <c:v>AAPL</c:v>
                </c:pt>
                <c:pt idx="4">
                  <c:v>AMZN</c:v>
                </c:pt>
              </c:strCache>
            </c:strRef>
          </c:cat>
          <c:val>
            <c:numRef>
              <c:f>'Chart Engine'!$G$19:$G$23</c:f>
              <c:numCache>
                <c:formatCode>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5A-4A23-BC0E-300254611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83877375"/>
        <c:axId val="1924774927"/>
      </c:barChart>
      <c:catAx>
        <c:axId val="838773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5171C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2F0EA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1924774927"/>
        <c:crosses val="autoZero"/>
        <c:auto val="1"/>
        <c:lblAlgn val="ctr"/>
        <c:lblOffset val="100"/>
        <c:noMultiLvlLbl val="0"/>
      </c:catAx>
      <c:valAx>
        <c:axId val="1924774927"/>
        <c:scaling>
          <c:orientation val="minMax"/>
        </c:scaling>
        <c:delete val="1"/>
        <c:axPos val="t"/>
        <c:numFmt formatCode="0.0%" sourceLinked="1"/>
        <c:majorTickMark val="none"/>
        <c:minorTickMark val="none"/>
        <c:tickLblPos val="nextTo"/>
        <c:crossAx val="8387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5171C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8A8D96"/>
          </a:solidFill>
          <a:latin typeface="Segoe UI"/>
          <a:ea typeface="Segoe UI"/>
          <a:cs typeface="Segoe U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Focus</c:v>
          </c:tx>
          <c:spPr>
            <a:ln w="38100" cap="rnd">
              <a:solidFill>
                <a:srgbClr val="FF5A3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'Chart Engine'!$G$32:$G$36</c:f>
              <c:strCache>
                <c:ptCount val="5"/>
                <c:pt idx="0">
                  <c:v>Return</c:v>
                </c:pt>
                <c:pt idx="1">
                  <c:v>Low Volatility</c:v>
                </c:pt>
                <c:pt idx="2">
                  <c:v>Sharpe</c:v>
                </c:pt>
                <c:pt idx="3">
                  <c:v>Revenue Growth</c:v>
                </c:pt>
                <c:pt idx="4">
                  <c:v>Op. Margin</c:v>
                </c:pt>
              </c:strCache>
            </c:strRef>
          </c:cat>
          <c:val>
            <c:numRef>
              <c:f>'Chart Engine'!$E$32:$E$36</c:f>
              <c:numCache>
                <c:formatCode>0.00</c:formatCode>
                <c:ptCount val="5"/>
                <c:pt idx="0">
                  <c:v>0.10962200142973477</c:v>
                </c:pt>
                <c:pt idx="1">
                  <c:v>0.73247593004044897</c:v>
                </c:pt>
                <c:pt idx="2">
                  <c:v>0.1040885737477546</c:v>
                </c:pt>
                <c:pt idx="3">
                  <c:v>0.1172601156878248</c:v>
                </c:pt>
                <c:pt idx="4">
                  <c:v>0.18474637183120049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E-4032-8D4E-C261D24239E3}"/>
            </c:ext>
          </c:extLst>
        </c:ser>
        <c:ser>
          <c:idx val="1"/>
          <c:order val="1"/>
          <c:tx>
            <c:v>Universe avg</c:v>
          </c:tx>
          <c:spPr>
            <a:ln w="19050" cap="rnd">
              <a:solidFill>
                <a:srgbClr val="D4FF3A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'Chart Engine'!$G$32:$G$36</c:f>
              <c:strCache>
                <c:ptCount val="5"/>
                <c:pt idx="0">
                  <c:v>Return</c:v>
                </c:pt>
                <c:pt idx="1">
                  <c:v>Low Volatility</c:v>
                </c:pt>
                <c:pt idx="2">
                  <c:v>Sharpe</c:v>
                </c:pt>
                <c:pt idx="3">
                  <c:v>Revenue Growth</c:v>
                </c:pt>
                <c:pt idx="4">
                  <c:v>Op. Margin</c:v>
                </c:pt>
              </c:strCache>
            </c:strRef>
          </c:cat>
          <c:val>
            <c:numRef>
              <c:f>'Chart Engine'!$F$32:$F$36</c:f>
              <c:numCache>
                <c:formatCode>0.00</c:formatCode>
                <c:ptCount val="5"/>
                <c:pt idx="0">
                  <c:v>0.40572775064060929</c:v>
                </c:pt>
                <c:pt idx="1">
                  <c:v>0.74727802056458148</c:v>
                </c:pt>
                <c:pt idx="2">
                  <c:v>0.52207668566351628</c:v>
                </c:pt>
                <c:pt idx="3">
                  <c:v>0.28432097124196981</c:v>
                </c:pt>
                <c:pt idx="4">
                  <c:v>0.60389555113552618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E-4032-8D4E-C261D2423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64591"/>
        <c:axId val="140565231"/>
      </c:radarChart>
      <c:catAx>
        <c:axId val="14316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2F0EA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140565231"/>
        <c:crosses val="autoZero"/>
        <c:auto val="1"/>
        <c:lblAlgn val="ctr"/>
        <c:lblOffset val="100"/>
        <c:noMultiLvlLbl val="0"/>
      </c:catAx>
      <c:valAx>
        <c:axId val="14056523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rgbClr val="2A2D35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5171C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143164591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2F0EA"/>
              </a:solidFill>
              <a:latin typeface="Segoe UI"/>
              <a:ea typeface="Segoe UI"/>
              <a:cs typeface="Segoe U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5171C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8A8D96"/>
          </a:solidFill>
          <a:latin typeface="Segoe UI"/>
          <a:ea typeface="Segoe UI"/>
          <a:cs typeface="Segoe U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'Company Data'!$G$1</c:f>
              <c:strCache>
                <c:ptCount val="1"/>
                <c:pt idx="0">
                  <c:v>Revenue CAGR</c:v>
                </c:pt>
              </c:strCache>
            </c:strRef>
          </c:tx>
          <c:spPr>
            <a:solidFill>
              <a:srgbClr val="D4FF3A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2F0EA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'Company Data'!$A$2:$A$6</c:f>
              <c:strCache>
                <c:ptCount val="5"/>
                <c:pt idx="0">
                  <c:v>AAPL</c:v>
                </c:pt>
                <c:pt idx="1">
                  <c:v>AMZN</c:v>
                </c:pt>
                <c:pt idx="2">
                  <c:v>GOOGL</c:v>
                </c:pt>
                <c:pt idx="3">
                  <c:v>MSFT</c:v>
                </c:pt>
                <c:pt idx="4">
                  <c:v>NVDA</c:v>
                </c:pt>
              </c:strCache>
            </c:strRef>
          </c:cat>
          <c:val>
            <c:numRef>
              <c:f>'Company Data'!$G$2:$G$6</c:f>
              <c:numCache>
                <c:formatCode>0.0%</c:formatCode>
                <c:ptCount val="5"/>
                <c:pt idx="0">
                  <c:v>1.8124999999999999E-2</c:v>
                </c:pt>
                <c:pt idx="1">
                  <c:v>0.117313</c:v>
                </c:pt>
                <c:pt idx="2">
                  <c:v>0.12511700000000001</c:v>
                </c:pt>
                <c:pt idx="3">
                  <c:v>0.16123999999999999</c:v>
                </c:pt>
                <c:pt idx="4">
                  <c:v>1.000451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9-4DC2-9BD8-E1BDD71672DE}"/>
            </c:ext>
          </c:extLst>
        </c:ser>
        <c:ser>
          <c:idx val="1"/>
          <c:order val="1"/>
          <c:tx>
            <c:v>Annualized Return</c:v>
          </c:tx>
          <c:spPr>
            <a:solidFill>
              <a:srgbClr val="FF5A3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2F0EA"/>
                    </a:solidFill>
                    <a:latin typeface="Segoe UI"/>
                    <a:ea typeface="Segoe UI"/>
                    <a:cs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'Company Data'!$A$2:$A$6</c:f>
              <c:strCache>
                <c:ptCount val="5"/>
                <c:pt idx="0">
                  <c:v>AAPL</c:v>
                </c:pt>
                <c:pt idx="1">
                  <c:v>AMZN</c:v>
                </c:pt>
                <c:pt idx="2">
                  <c:v>GOOGL</c:v>
                </c:pt>
                <c:pt idx="3">
                  <c:v>MSFT</c:v>
                </c:pt>
                <c:pt idx="4">
                  <c:v>NVDA</c:v>
                </c:pt>
              </c:strCache>
            </c:strRef>
          </c:cat>
          <c:val>
            <c:numRef>
              <c:f>'Company Data'!$D$2:$D$6</c:f>
              <c:numCache>
                <c:formatCode>0.0%</c:formatCode>
                <c:ptCount val="5"/>
                <c:pt idx="0">
                  <c:v>0.16672500000000001</c:v>
                </c:pt>
                <c:pt idx="1">
                  <c:v>7.7132999999999993E-2</c:v>
                </c:pt>
                <c:pt idx="2">
                  <c:v>0.29663099999999998</c:v>
                </c:pt>
                <c:pt idx="3">
                  <c:v>0.18328900000000001</c:v>
                </c:pt>
                <c:pt idx="4">
                  <c:v>0.703627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9-4DC2-9BD8-E1BDD7167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49832735"/>
        <c:axId val="140595951"/>
      </c:barChart>
      <c:catAx>
        <c:axId val="14983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A2D35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2F0EA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140595951"/>
        <c:crosses val="autoZero"/>
        <c:auto val="1"/>
        <c:lblAlgn val="ctr"/>
        <c:lblOffset val="100"/>
        <c:noMultiLvlLbl val="0"/>
      </c:catAx>
      <c:valAx>
        <c:axId val="1405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A2D35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2A2D35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8D96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14983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2F0EA"/>
              </a:solidFill>
              <a:latin typeface="Segoe UI"/>
              <a:ea typeface="Segoe UI"/>
              <a:cs typeface="Segoe U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5171C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8A8D96"/>
          </a:solidFill>
          <a:latin typeface="Segoe UI"/>
          <a:ea typeface="Segoe UI"/>
          <a:cs typeface="Segoe U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251459</xdr:rowOff>
    </xdr:from>
    <xdr:to>
      <xdr:col>5</xdr:col>
      <xdr:colOff>0</xdr:colOff>
      <xdr:row>37</xdr:row>
      <xdr:rowOff>190499</xdr:rowOff>
    </xdr:to>
    <xdr:graphicFrame macro="">
      <xdr:nvGraphicFramePr>
        <xdr:cNvPr id="5" name="RiskReturn">
          <a:extLst>
            <a:ext uri="{FF2B5EF4-FFF2-40B4-BE49-F238E27FC236}">
              <a16:creationId xmlns:a16="http://schemas.microsoft.com/office/drawing/2014/main" id="{DF21AC31-B058-454D-1DDB-3CE5EE9AD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251459</xdr:rowOff>
    </xdr:from>
    <xdr:to>
      <xdr:col>10</xdr:col>
      <xdr:colOff>0</xdr:colOff>
      <xdr:row>37</xdr:row>
      <xdr:rowOff>190499</xdr:rowOff>
    </xdr:to>
    <xdr:graphicFrame macro="">
      <xdr:nvGraphicFramePr>
        <xdr:cNvPr id="6" name="Leaderboard">
          <a:extLst>
            <a:ext uri="{FF2B5EF4-FFF2-40B4-BE49-F238E27FC236}">
              <a16:creationId xmlns:a16="http://schemas.microsoft.com/office/drawing/2014/main" id="{9D58367A-C7FC-388C-90FE-84D0A4285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251459</xdr:rowOff>
    </xdr:from>
    <xdr:to>
      <xdr:col>5</xdr:col>
      <xdr:colOff>0</xdr:colOff>
      <xdr:row>56</xdr:row>
      <xdr:rowOff>190499</xdr:rowOff>
    </xdr:to>
    <xdr:graphicFrame macro="">
      <xdr:nvGraphicFramePr>
        <xdr:cNvPr id="7" name="FocusDNA">
          <a:extLst>
            <a:ext uri="{FF2B5EF4-FFF2-40B4-BE49-F238E27FC236}">
              <a16:creationId xmlns:a16="http://schemas.microsoft.com/office/drawing/2014/main" id="{6F0BB9FD-A757-8F50-87AD-B20D7E801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39</xdr:row>
      <xdr:rowOff>251459</xdr:rowOff>
    </xdr:from>
    <xdr:to>
      <xdr:col>10</xdr:col>
      <xdr:colOff>0</xdr:colOff>
      <xdr:row>56</xdr:row>
      <xdr:rowOff>190499</xdr:rowOff>
    </xdr:to>
    <xdr:graphicFrame macro="">
      <xdr:nvGraphicFramePr>
        <xdr:cNvPr id="8" name="GrowthVsReturn">
          <a:extLst>
            <a:ext uri="{FF2B5EF4-FFF2-40B4-BE49-F238E27FC236}">
              <a16:creationId xmlns:a16="http://schemas.microsoft.com/office/drawing/2014/main" id="{1E5B2097-169D-64DB-BC9B-CB4B6E406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DE228B-A297-485E-919E-45026E18812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284926d-f1ed-40e0-99d6-a60190633d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FF3A"/>
  </sheetPr>
  <dimension ref="A1:Z60"/>
  <sheetViews>
    <sheetView showGridLines="0" tabSelected="1" zoomScale="71" zoomScaleNormal="71" workbookViewId="0">
      <selection activeCell="C11" sqref="C11"/>
    </sheetView>
  </sheetViews>
  <sheetFormatPr defaultColWidth="0" defaultRowHeight="16.8" zeroHeight="1"/>
  <cols>
    <col min="1" max="1" width="1.69921875" style="1" customWidth="1"/>
    <col min="2" max="2" width="10.296875" style="1" customWidth="1"/>
    <col min="3" max="3" width="15" style="1" customWidth="1"/>
    <col min="4" max="4" width="25" style="1" customWidth="1"/>
    <col min="5" max="9" width="14.69921875" style="1" customWidth="1"/>
    <col min="10" max="10" width="11.69921875" style="1" customWidth="1"/>
    <col min="11" max="12" width="1.69921875" style="1" customWidth="1"/>
    <col min="13" max="26" width="0" style="1" hidden="1"/>
    <col min="27" max="16384" width="8.796875" style="1" hidden="1"/>
  </cols>
  <sheetData>
    <row r="1" spans="1:12" ht="7.9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6" customHeight="1">
      <c r="A2" s="2"/>
      <c r="B2" s="3" t="s">
        <v>75</v>
      </c>
      <c r="C2" s="2"/>
      <c r="D2" s="2"/>
      <c r="E2" s="2"/>
      <c r="F2" s="2"/>
      <c r="G2" s="2"/>
      <c r="H2" s="2"/>
      <c r="I2" s="44" t="s">
        <v>78</v>
      </c>
      <c r="J2" s="44"/>
      <c r="K2" s="2"/>
      <c r="L2" s="2"/>
    </row>
    <row r="3" spans="1:12" ht="19.95" customHeight="1">
      <c r="A3" s="2"/>
      <c r="B3" s="4" t="s">
        <v>76</v>
      </c>
      <c r="C3" s="2"/>
      <c r="D3" s="2"/>
      <c r="E3" s="2"/>
      <c r="F3" s="2"/>
      <c r="G3" s="2"/>
      <c r="H3" s="2"/>
      <c r="I3" s="42" t="s">
        <v>79</v>
      </c>
      <c r="J3" s="43"/>
      <c r="K3" s="2"/>
      <c r="L3" s="2"/>
    </row>
    <row r="4" spans="1:12" ht="16.05" customHeight="1">
      <c r="A4" s="2"/>
      <c r="B4" s="5" t="s">
        <v>77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6" customHeight="1" thickBot="1">
      <c r="A5" s="2"/>
      <c r="B5" s="6"/>
      <c r="C5" s="6"/>
      <c r="D5" s="6"/>
      <c r="E5" s="6"/>
      <c r="F5" s="6"/>
      <c r="G5" s="6"/>
      <c r="H5" s="6"/>
      <c r="I5" s="6"/>
      <c r="J5" s="6"/>
      <c r="K5" s="2"/>
      <c r="L5" s="2"/>
    </row>
    <row r="6" spans="1:12" ht="13.95" customHeight="1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8" customHeight="1" thickTop="1">
      <c r="A7" s="2"/>
      <c r="B7" s="31" t="s">
        <v>82</v>
      </c>
      <c r="C7" s="28"/>
      <c r="D7" s="35" t="s">
        <v>83</v>
      </c>
      <c r="E7" s="31" t="s">
        <v>84</v>
      </c>
      <c r="F7" s="28"/>
      <c r="G7" s="31" t="s">
        <v>85</v>
      </c>
      <c r="H7" s="28"/>
      <c r="I7" s="31" t="s">
        <v>86</v>
      </c>
      <c r="J7" s="29"/>
      <c r="K7" s="2"/>
      <c r="L7" s="2"/>
    </row>
    <row r="8" spans="1:12" ht="36" customHeight="1">
      <c r="A8" s="2"/>
      <c r="B8" s="32">
        <f>AVERAGE(E15:E19)</f>
        <v>0.28548099999999998</v>
      </c>
      <c r="C8" s="27"/>
      <c r="D8" s="36">
        <f>AVERAGE(F15:F19)</f>
        <v>0.34410620000000003</v>
      </c>
      <c r="E8" s="38">
        <f>AVERAGE(G15:G19)</f>
        <v>0.6734074000000001</v>
      </c>
      <c r="F8" s="27"/>
      <c r="G8" s="32">
        <f>AVERAGE(H15:H19)</f>
        <v>0.28444919999999996</v>
      </c>
      <c r="H8" s="27"/>
      <c r="I8" s="32">
        <f>AVERAGE(I15:I19)</f>
        <v>0.36464240000000003</v>
      </c>
      <c r="J8" s="30"/>
      <c r="K8" s="2"/>
      <c r="L8" s="2"/>
    </row>
    <row r="9" spans="1:12" ht="18" customHeight="1">
      <c r="A9" s="2"/>
      <c r="B9" s="33" t="str">
        <f>"▲ BEST "&amp;INDEX($B$15:$B$19,MATCH(MAX(E15:E19),E15:E19,0))&amp;"  ·  "&amp;FIXED(MAX(E15:E19)*100,1)&amp;"%"</f>
        <v>▲ BEST NVDA  ·  70,4%</v>
      </c>
      <c r="C9" s="27"/>
      <c r="D9" s="37" t="str">
        <f>"▼ LOWEST "&amp;INDEX($B$15:$B$19,MATCH(MIN(F15:F19),F15:F19,0))&amp;"  ·  "&amp;FIXED(MIN(F15:F19)*100,1)&amp;"%"</f>
        <v>▼ LOWEST MSFT  ·  25,7%</v>
      </c>
      <c r="E9" s="33" t="str">
        <f>"▲ BEST "&amp;INDEX($B$15:$B$19,MATCH(MAX(G15:G19),G15:G19,0))&amp;"  ·  "&amp;FIXED(MAX(G15:G19),2)</f>
        <v>▲ BEST NVDA  ·  1,29</v>
      </c>
      <c r="F9" s="27"/>
      <c r="G9" s="33" t="str">
        <f>"▲ BEST "&amp;INDEX($B$15:$B$19,MATCH(MAX(H15:H19),H15:H19,0))&amp;"  ·  "&amp;FIXED(MAX(H15:H19)*100,1)&amp;"%"</f>
        <v>▲ BEST NVDA  ·  100,0%</v>
      </c>
      <c r="H9" s="27"/>
      <c r="I9" s="33" t="str">
        <f>"▲ BEST "&amp;INDEX($B$15:$B$19,MATCH(MAX(I15:I19),I15:I19,0))&amp;"  ·  "&amp;FIXED(MAX(I15:I19)*100,1)&amp;"%"</f>
        <v>▲ BEST NVDA  ·  60,4%</v>
      </c>
      <c r="J9" s="30"/>
      <c r="K9" s="2"/>
      <c r="L9" s="2"/>
    </row>
    <row r="10" spans="1:12" ht="16.05" customHeight="1" thickBo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5.95" customHeight="1" thickBot="1">
      <c r="A11" s="2"/>
      <c r="B11" s="39" t="s">
        <v>87</v>
      </c>
      <c r="C11" s="40" t="s">
        <v>12</v>
      </c>
      <c r="D11" s="41" t="s">
        <v>89</v>
      </c>
      <c r="E11" s="39" t="s">
        <v>88</v>
      </c>
      <c r="F11" s="45" t="s">
        <v>3</v>
      </c>
      <c r="G11" s="46"/>
      <c r="H11" s="41" t="s">
        <v>90</v>
      </c>
      <c r="I11" s="2"/>
      <c r="J11" s="2"/>
      <c r="K11" s="2"/>
      <c r="L11" s="2"/>
    </row>
    <row r="12" spans="1:12" ht="16.0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9.95" customHeight="1">
      <c r="A13" s="2"/>
      <c r="B13" s="8" t="s">
        <v>80</v>
      </c>
      <c r="C13" s="2"/>
      <c r="D13" s="2"/>
      <c r="E13" s="2"/>
      <c r="F13" s="2"/>
      <c r="G13" s="2"/>
      <c r="H13" s="2"/>
      <c r="I13" s="2"/>
      <c r="J13" s="9" t="str">
        <f>"highlighted row = focus  ·  rank recalculates on  "&amp;UPPER(F11)</f>
        <v>highlighted row = focus  ·  rank recalculates on  ANNUALIZED RETURN</v>
      </c>
      <c r="K13" s="2"/>
      <c r="L13" s="2"/>
    </row>
    <row r="14" spans="1:12" ht="31.95" customHeight="1">
      <c r="A14" s="2"/>
      <c r="B14" s="10" t="str">
        <f>'Company Data'!A1</f>
        <v>Ticker</v>
      </c>
      <c r="C14" s="10" t="str">
        <f>'Company Data'!B1</f>
        <v>Company</v>
      </c>
      <c r="D14" s="10" t="str">
        <f>'Company Data'!C1</f>
        <v>Sector</v>
      </c>
      <c r="E14" s="11" t="str">
        <f>'Company Data'!D1</f>
        <v>Annualized Return</v>
      </c>
      <c r="F14" s="11" t="str">
        <f>'Company Data'!E1</f>
        <v>Annualized Volatility</v>
      </c>
      <c r="G14" s="11" t="str">
        <f>'Company Data'!F1</f>
        <v>Sharpe Ratio</v>
      </c>
      <c r="H14" s="11" t="str">
        <f>'Company Data'!G1</f>
        <v>Revenue CAGR</v>
      </c>
      <c r="I14" s="11" t="str">
        <f>'Company Data'!H1</f>
        <v>Operating Margin</v>
      </c>
      <c r="J14" s="11" t="s">
        <v>81</v>
      </c>
      <c r="K14" s="2"/>
      <c r="L14" s="2"/>
    </row>
    <row r="15" spans="1:12" ht="22.05" customHeight="1">
      <c r="A15" s="2"/>
      <c r="B15" s="17" t="str">
        <f>'Company Data'!A2</f>
        <v>AAPL</v>
      </c>
      <c r="C15" s="12" t="str">
        <f>'Company Data'!B2</f>
        <v>Apple</v>
      </c>
      <c r="D15" s="19" t="str">
        <f>'Company Data'!C2</f>
        <v>Technology</v>
      </c>
      <c r="E15" s="21">
        <f>'Company Data'!D2</f>
        <v>0.16672500000000001</v>
      </c>
      <c r="F15" s="21">
        <f>'Company Data'!E2</f>
        <v>0.27862599999999998</v>
      </c>
      <c r="G15" s="23">
        <f>'Company Data'!F2</f>
        <v>0.49070999999999998</v>
      </c>
      <c r="H15" s="21">
        <f>'Company Data'!G2</f>
        <v>1.8124999999999999E-2</v>
      </c>
      <c r="I15" s="21">
        <f>'Company Data'!H2</f>
        <v>0.31970799999999999</v>
      </c>
      <c r="J15" s="25" cm="1">
        <f t="array" ref="J15">RANK(INDEX(E15:I15,'Chart Engine'!$B$5),INDEX($E$15:$I$19,0,'Chart Engine'!$B$5),'Chart Engine'!$B$6)</f>
        <v>4</v>
      </c>
      <c r="K15" s="2"/>
      <c r="L15" s="2"/>
    </row>
    <row r="16" spans="1:12" ht="22.05" customHeight="1">
      <c r="A16" s="2"/>
      <c r="B16" s="18" t="str">
        <f>'Company Data'!A3</f>
        <v>AMZN</v>
      </c>
      <c r="C16" s="13" t="str">
        <f>'Company Data'!B3</f>
        <v>Amazon</v>
      </c>
      <c r="D16" s="20" t="str">
        <f>'Company Data'!C3</f>
        <v>Consumer / Cloud</v>
      </c>
      <c r="E16" s="22">
        <f>'Company Data'!D3</f>
        <v>7.7132999999999993E-2</v>
      </c>
      <c r="F16" s="22">
        <f>'Company Data'!E3</f>
        <v>0.35105999999999998</v>
      </c>
      <c r="G16" s="24">
        <f>'Company Data'!F3</f>
        <v>0.13425999999999999</v>
      </c>
      <c r="H16" s="22">
        <f>'Company Data'!G3</f>
        <v>0.117313</v>
      </c>
      <c r="I16" s="22">
        <f>'Company Data'!H3</f>
        <v>0.111553</v>
      </c>
      <c r="J16" s="26" cm="1">
        <f t="array" ref="J16">RANK(INDEX(E16:I16,'Chart Engine'!$B$5),INDEX($E$15:$I$19,0,'Chart Engine'!$B$5),'Chart Engine'!$B$6)</f>
        <v>5</v>
      </c>
      <c r="K16" s="2"/>
      <c r="L16" s="2"/>
    </row>
    <row r="17" spans="1:12" ht="22.05" customHeight="1">
      <c r="A17" s="2"/>
      <c r="B17" s="18" t="str">
        <f>'Company Data'!A4</f>
        <v>GOOGL</v>
      </c>
      <c r="C17" s="13" t="str">
        <f>'Company Data'!B4</f>
        <v>Alphabet</v>
      </c>
      <c r="D17" s="20" t="str">
        <f>'Company Data'!C4</f>
        <v>Digital Advertising / Cloud</v>
      </c>
      <c r="E17" s="22">
        <f>'Company Data'!D4</f>
        <v>0.29663099999999998</v>
      </c>
      <c r="F17" s="22">
        <f>'Company Data'!E4</f>
        <v>0.31145499999999998</v>
      </c>
      <c r="G17" s="24">
        <f>'Company Data'!F4</f>
        <v>0.85608200000000001</v>
      </c>
      <c r="H17" s="22">
        <f>'Company Data'!G4</f>
        <v>0.12511700000000001</v>
      </c>
      <c r="I17" s="22">
        <f>'Company Data'!H4</f>
        <v>0.320326</v>
      </c>
      <c r="J17" s="26" cm="1">
        <f t="array" ref="J17">RANK(INDEX(E17:I17,'Chart Engine'!$B$5),INDEX($E$15:$I$19,0,'Chart Engine'!$B$5),'Chart Engine'!$B$6)</f>
        <v>2</v>
      </c>
      <c r="K17" s="2"/>
      <c r="L17" s="2"/>
    </row>
    <row r="18" spans="1:12" ht="22.05" customHeight="1">
      <c r="A18" s="2"/>
      <c r="B18" s="18" t="str">
        <f>'Company Data'!A5</f>
        <v>MSFT</v>
      </c>
      <c r="C18" s="13" t="str">
        <f>'Company Data'!B5</f>
        <v>Microsoft</v>
      </c>
      <c r="D18" s="20" t="str">
        <f>'Company Data'!C5</f>
        <v>Technology</v>
      </c>
      <c r="E18" s="22">
        <f>'Company Data'!D5</f>
        <v>0.18328900000000001</v>
      </c>
      <c r="F18" s="22">
        <f>'Company Data'!E5</f>
        <v>0.25714300000000001</v>
      </c>
      <c r="G18" s="24">
        <f>'Company Data'!F5</f>
        <v>0.59612200000000004</v>
      </c>
      <c r="H18" s="22">
        <f>'Company Data'!G5</f>
        <v>0.16123999999999999</v>
      </c>
      <c r="I18" s="22">
        <f>'Company Data'!H5</f>
        <v>0.467808</v>
      </c>
      <c r="J18" s="26" cm="1">
        <f t="array" ref="J18">RANK(INDEX(E18:I18,'Chart Engine'!$B$5),INDEX($E$15:$I$19,0,'Chart Engine'!$B$5),'Chart Engine'!$B$6)</f>
        <v>3</v>
      </c>
      <c r="K18" s="2"/>
      <c r="L18" s="2"/>
    </row>
    <row r="19" spans="1:12" ht="22.05" customHeight="1">
      <c r="A19" s="2"/>
      <c r="B19" s="18" t="str">
        <f>'Company Data'!A6</f>
        <v>NVDA</v>
      </c>
      <c r="C19" s="13" t="str">
        <f>'Company Data'!B6</f>
        <v>Nvidia</v>
      </c>
      <c r="D19" s="20" t="str">
        <f>'Company Data'!C6</f>
        <v>Semiconductors</v>
      </c>
      <c r="E19" s="22">
        <f>'Company Data'!D6</f>
        <v>0.703627</v>
      </c>
      <c r="F19" s="22">
        <f>'Company Data'!E6</f>
        <v>0.52224700000000002</v>
      </c>
      <c r="G19" s="24">
        <f>'Company Data'!F6</f>
        <v>1.289863</v>
      </c>
      <c r="H19" s="22">
        <f>'Company Data'!G6</f>
        <v>1.000451</v>
      </c>
      <c r="I19" s="22">
        <f>'Company Data'!H6</f>
        <v>0.60381700000000005</v>
      </c>
      <c r="J19" s="26" cm="1">
        <f t="array" ref="J19">RANK(INDEX(E19:I19,'Chart Engine'!$B$5),INDEX($E$15:$I$19,0,'Chart Engine'!$B$5),'Chart Engine'!$B$6)</f>
        <v>1</v>
      </c>
      <c r="K19" s="2"/>
      <c r="L19" s="2"/>
    </row>
    <row r="20" spans="1:12" ht="16.0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9.95" customHeight="1">
      <c r="A21" s="2"/>
      <c r="B21" s="8" t="s">
        <v>91</v>
      </c>
      <c r="C21" s="2"/>
      <c r="D21" s="2"/>
      <c r="E21" s="2"/>
      <c r="F21" s="8" t="str">
        <f>"▌ LEADERBOARD  ·  "&amp;UPPER(F11)</f>
        <v>▌ LEADERBOARD  ·  ANNUALIZED RETURN</v>
      </c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6.0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9.95" customHeight="1">
      <c r="A40" s="2"/>
      <c r="B40" s="8" t="str">
        <f>"▌ FOCUS DNA  ·  "&amp;C11&amp;"  vs  UNIVERSE AVG"</f>
        <v>▌ FOCUS DNA  ·  AMZN  vs  UNIVERSE AVG</v>
      </c>
      <c r="C40" s="2"/>
      <c r="D40" s="2"/>
      <c r="E40" s="2"/>
      <c r="F40" s="8" t="s">
        <v>92</v>
      </c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idden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idden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</sheetData>
  <mergeCells count="15">
    <mergeCell ref="F11:G11"/>
    <mergeCell ref="G8:H8"/>
    <mergeCell ref="G9:H9"/>
    <mergeCell ref="I7:J7"/>
    <mergeCell ref="I8:J8"/>
    <mergeCell ref="I9:J9"/>
    <mergeCell ref="B8:C8"/>
    <mergeCell ref="B9:C9"/>
    <mergeCell ref="E7:F7"/>
    <mergeCell ref="E8:F8"/>
    <mergeCell ref="E9:F9"/>
    <mergeCell ref="I2:J2"/>
    <mergeCell ref="I3:J3"/>
    <mergeCell ref="B7:C7"/>
    <mergeCell ref="G7:H7"/>
  </mergeCells>
  <conditionalFormatting sqref="B15:J19">
    <cfRule type="expression" dxfId="4" priority="1">
      <formula>$B15=$C$11</formula>
    </cfRule>
  </conditionalFormatting>
  <conditionalFormatting sqref="B15:B19">
    <cfRule type="expression" dxfId="3" priority="2">
      <formula>$B15=$C$11</formula>
    </cfRule>
  </conditionalFormatting>
  <conditionalFormatting sqref="E14:I14">
    <cfRule type="expression" dxfId="2" priority="3">
      <formula>E$14=$F$11</formula>
    </cfRule>
  </conditionalFormatting>
  <conditionalFormatting sqref="E15:I19">
    <cfRule type="expression" dxfId="1" priority="4">
      <formula>E$14=$F$11</formula>
    </cfRule>
  </conditionalFormatting>
  <conditionalFormatting sqref="J15:J19">
    <cfRule type="expression" dxfId="0" priority="5">
      <formula>J15=1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4CEDF6-AD31-4A9C-9576-CFBA7802716C}">
          <x14:formula1>
            <xm:f>'Company Data'!$A$2:$A$6</xm:f>
          </x14:formula1>
          <xm:sqref>C11</xm:sqref>
        </x14:dataValidation>
        <x14:dataValidation type="list" allowBlank="1" showInputMessage="1" showErrorMessage="1" xr:uid="{014B6872-DEE9-4A89-AA62-C9BAC713D27B}">
          <x14:formula1>
            <xm:f>'Chart Engine'!$A$10:$A$14</xm:f>
          </x14:formula1>
          <xm:sqref>F11:G11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5A36"/>
  </sheetPr>
  <dimension ref="A1:J20"/>
  <sheetViews>
    <sheetView showGridLines="0" workbookViewId="0"/>
  </sheetViews>
  <sheetFormatPr defaultColWidth="0" defaultRowHeight="16.8" zeroHeight="1"/>
  <cols>
    <col min="1" max="1" width="10" style="1" customWidth="1"/>
    <col min="2" max="2" width="14.19921875" style="1" customWidth="1"/>
    <col min="3" max="3" width="25" style="1" customWidth="1"/>
    <col min="4" max="8" width="14.19921875" style="1" customWidth="1"/>
    <col min="9" max="9" width="8.796875" style="1" customWidth="1"/>
    <col min="10" max="10" width="0" style="1" hidden="1"/>
    <col min="11" max="16384" width="8.796875" style="1" hidden="1"/>
  </cols>
  <sheetData>
    <row r="1" spans="1:10" ht="31.95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2"/>
      <c r="J1" s="2"/>
    </row>
    <row r="2" spans="1:10" ht="22.05" customHeight="1">
      <c r="A2" s="15" t="s">
        <v>9</v>
      </c>
      <c r="B2" s="12" t="s">
        <v>10</v>
      </c>
      <c r="C2" s="12" t="s">
        <v>11</v>
      </c>
      <c r="D2" s="48">
        <v>0.16672500000000001</v>
      </c>
      <c r="E2" s="48">
        <v>0.27862599999999998</v>
      </c>
      <c r="F2" s="50">
        <v>0.49070999999999998</v>
      </c>
      <c r="G2" s="48">
        <v>1.8124999999999999E-2</v>
      </c>
      <c r="H2" s="48">
        <v>0.31970799999999999</v>
      </c>
      <c r="I2" s="2"/>
      <c r="J2" s="2"/>
    </row>
    <row r="3" spans="1:10" ht="22.05" customHeight="1">
      <c r="A3" s="16" t="s">
        <v>12</v>
      </c>
      <c r="B3" s="13" t="s">
        <v>13</v>
      </c>
      <c r="C3" s="13" t="s">
        <v>14</v>
      </c>
      <c r="D3" s="49">
        <v>7.7132999999999993E-2</v>
      </c>
      <c r="E3" s="49">
        <v>0.35105999999999998</v>
      </c>
      <c r="F3" s="51">
        <v>0.13425999999999999</v>
      </c>
      <c r="G3" s="49">
        <v>0.117313</v>
      </c>
      <c r="H3" s="49">
        <v>0.111553</v>
      </c>
      <c r="I3" s="2"/>
      <c r="J3" s="2"/>
    </row>
    <row r="4" spans="1:10" ht="22.05" customHeight="1">
      <c r="A4" s="16" t="s">
        <v>15</v>
      </c>
      <c r="B4" s="13" t="s">
        <v>16</v>
      </c>
      <c r="C4" s="13" t="s">
        <v>17</v>
      </c>
      <c r="D4" s="49">
        <v>0.29663099999999998</v>
      </c>
      <c r="E4" s="49">
        <v>0.31145499999999998</v>
      </c>
      <c r="F4" s="51">
        <v>0.85608200000000001</v>
      </c>
      <c r="G4" s="49">
        <v>0.12511700000000001</v>
      </c>
      <c r="H4" s="49">
        <v>0.320326</v>
      </c>
      <c r="I4" s="2"/>
      <c r="J4" s="2"/>
    </row>
    <row r="5" spans="1:10" ht="22.05" customHeight="1">
      <c r="A5" s="16" t="s">
        <v>18</v>
      </c>
      <c r="B5" s="13" t="s">
        <v>19</v>
      </c>
      <c r="C5" s="13" t="s">
        <v>11</v>
      </c>
      <c r="D5" s="49">
        <v>0.18328900000000001</v>
      </c>
      <c r="E5" s="49">
        <v>0.25714300000000001</v>
      </c>
      <c r="F5" s="51">
        <v>0.59612200000000004</v>
      </c>
      <c r="G5" s="49">
        <v>0.16123999999999999</v>
      </c>
      <c r="H5" s="49">
        <v>0.467808</v>
      </c>
      <c r="I5" s="2"/>
      <c r="J5" s="2"/>
    </row>
    <row r="6" spans="1:10" ht="22.05" customHeight="1">
      <c r="A6" s="16" t="s">
        <v>20</v>
      </c>
      <c r="B6" s="13" t="s">
        <v>21</v>
      </c>
      <c r="C6" s="13" t="s">
        <v>22</v>
      </c>
      <c r="D6" s="49">
        <v>0.703627</v>
      </c>
      <c r="E6" s="49">
        <v>0.52224700000000002</v>
      </c>
      <c r="F6" s="51">
        <v>1.289863</v>
      </c>
      <c r="G6" s="49">
        <v>1.000451</v>
      </c>
      <c r="H6" s="49">
        <v>0.60381700000000005</v>
      </c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41" t="s">
        <v>93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idden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idden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idden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idden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idden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idden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idden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idden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idden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idden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idden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5E66"/>
  </sheetPr>
  <dimension ref="A1:H24"/>
  <sheetViews>
    <sheetView showGridLines="0" zoomScale="81" workbookViewId="0">
      <selection sqref="A1:F1"/>
    </sheetView>
  </sheetViews>
  <sheetFormatPr defaultColWidth="0" defaultRowHeight="16.8" zeroHeight="1"/>
  <cols>
    <col min="1" max="1" width="23.296875" style="1" customWidth="1"/>
    <col min="2" max="2" width="86.69921875" style="1" customWidth="1"/>
    <col min="3" max="3" width="8.796875" style="1" customWidth="1"/>
    <col min="4" max="8" width="0" style="1" hidden="1"/>
    <col min="9" max="16384" width="8.796875" style="1" hidden="1"/>
  </cols>
  <sheetData>
    <row r="1" spans="1:8" ht="31.95" customHeight="1">
      <c r="A1" s="54" t="s">
        <v>23</v>
      </c>
      <c r="B1" s="52"/>
      <c r="C1" s="52"/>
      <c r="D1" s="52"/>
      <c r="E1" s="52"/>
      <c r="F1" s="52"/>
      <c r="G1" s="2"/>
      <c r="H1" s="2"/>
    </row>
    <row r="2" spans="1:8" ht="7.95" customHeight="1">
      <c r="A2" s="2"/>
      <c r="B2" s="2"/>
      <c r="C2" s="2"/>
      <c r="D2" s="2"/>
      <c r="E2" s="2"/>
      <c r="F2" s="2"/>
      <c r="G2" s="2"/>
      <c r="H2" s="2"/>
    </row>
    <row r="3" spans="1:8">
      <c r="A3" s="57" t="s">
        <v>24</v>
      </c>
      <c r="B3" s="57" t="s">
        <v>25</v>
      </c>
      <c r="C3" s="2"/>
      <c r="D3" s="2"/>
      <c r="E3" s="2"/>
      <c r="F3" s="2"/>
      <c r="G3" s="2"/>
      <c r="H3" s="2"/>
    </row>
    <row r="4" spans="1:8" ht="19.95" customHeight="1">
      <c r="A4" s="59" t="s">
        <v>94</v>
      </c>
      <c r="B4" s="60" t="s">
        <v>95</v>
      </c>
      <c r="C4" s="2"/>
      <c r="D4" s="2"/>
      <c r="E4" s="2"/>
      <c r="F4" s="2"/>
      <c r="G4" s="2"/>
      <c r="H4" s="2"/>
    </row>
    <row r="5" spans="1:8" ht="19.95" customHeight="1">
      <c r="A5" s="14" t="s">
        <v>96</v>
      </c>
      <c r="B5" s="61" t="s">
        <v>97</v>
      </c>
      <c r="C5" s="2"/>
      <c r="D5" s="2"/>
      <c r="E5" s="2"/>
      <c r="F5" s="2"/>
      <c r="G5" s="2"/>
      <c r="H5" s="2"/>
    </row>
    <row r="6" spans="1:8" ht="19.95" customHeight="1">
      <c r="A6" s="14" t="s">
        <v>26</v>
      </c>
      <c r="B6" s="61" t="s">
        <v>27</v>
      </c>
      <c r="C6" s="2"/>
      <c r="D6" s="2"/>
      <c r="E6" s="2"/>
      <c r="F6" s="2"/>
      <c r="G6" s="2"/>
      <c r="H6" s="2"/>
    </row>
    <row r="7" spans="1:8" ht="19.95" customHeight="1">
      <c r="A7" s="14" t="s">
        <v>28</v>
      </c>
      <c r="B7" s="61" t="s">
        <v>29</v>
      </c>
      <c r="C7" s="2"/>
      <c r="D7" s="2"/>
      <c r="E7" s="2"/>
      <c r="F7" s="2"/>
      <c r="G7" s="2"/>
      <c r="H7" s="2"/>
    </row>
    <row r="8" spans="1:8" ht="19.95" customHeight="1">
      <c r="A8" s="14" t="s">
        <v>30</v>
      </c>
      <c r="B8" s="61" t="s">
        <v>31</v>
      </c>
      <c r="C8" s="2"/>
      <c r="D8" s="2"/>
      <c r="E8" s="2"/>
      <c r="F8" s="2"/>
      <c r="G8" s="2"/>
      <c r="H8" s="2"/>
    </row>
    <row r="9" spans="1:8" ht="19.95" customHeight="1">
      <c r="A9" s="14" t="s">
        <v>6</v>
      </c>
      <c r="B9" s="61" t="s">
        <v>32</v>
      </c>
      <c r="C9" s="2"/>
      <c r="D9" s="2"/>
      <c r="E9" s="2"/>
      <c r="F9" s="2"/>
      <c r="G9" s="2"/>
      <c r="H9" s="2"/>
    </row>
    <row r="10" spans="1:8" ht="19.95" customHeight="1">
      <c r="A10" s="14" t="s">
        <v>33</v>
      </c>
      <c r="B10" s="61" t="s">
        <v>34</v>
      </c>
      <c r="C10" s="2"/>
      <c r="D10" s="2"/>
      <c r="E10" s="2"/>
      <c r="F10" s="2"/>
      <c r="G10" s="2"/>
      <c r="H10" s="2"/>
    </row>
    <row r="11" spans="1:8" ht="19.95" customHeight="1">
      <c r="A11" s="53"/>
      <c r="B11" s="62"/>
      <c r="C11" s="2"/>
      <c r="D11" s="2"/>
      <c r="E11" s="2"/>
      <c r="F11" s="2"/>
      <c r="G11" s="2"/>
      <c r="H11" s="2"/>
    </row>
    <row r="12" spans="1:8" ht="19.95" customHeight="1">
      <c r="A12" s="58" t="s">
        <v>35</v>
      </c>
      <c r="B12" s="63" t="s">
        <v>36</v>
      </c>
      <c r="C12" s="2"/>
      <c r="D12" s="2"/>
      <c r="E12" s="2"/>
      <c r="F12" s="2"/>
      <c r="G12" s="2"/>
      <c r="H12" s="2"/>
    </row>
    <row r="13" spans="1:8" ht="19.95" customHeight="1">
      <c r="A13" s="14" t="s">
        <v>37</v>
      </c>
      <c r="B13" s="61" t="s">
        <v>38</v>
      </c>
      <c r="C13" s="2"/>
      <c r="D13" s="2"/>
      <c r="E13" s="2"/>
      <c r="F13" s="2"/>
      <c r="G13" s="2"/>
      <c r="H13" s="2"/>
    </row>
    <row r="14" spans="1:8" ht="19.95" customHeight="1">
      <c r="A14" s="14" t="s">
        <v>39</v>
      </c>
      <c r="B14" s="61" t="s">
        <v>40</v>
      </c>
      <c r="C14" s="2"/>
      <c r="D14" s="2"/>
      <c r="E14" s="2"/>
      <c r="F14" s="2"/>
      <c r="G14" s="2"/>
      <c r="H14" s="2"/>
    </row>
    <row r="15" spans="1:8" ht="19.95" customHeight="1">
      <c r="A15" s="14" t="s">
        <v>41</v>
      </c>
      <c r="B15" s="61" t="s">
        <v>42</v>
      </c>
      <c r="C15" s="2"/>
      <c r="D15" s="2"/>
      <c r="E15" s="2"/>
      <c r="F15" s="2"/>
      <c r="G15" s="2"/>
      <c r="H15" s="2"/>
    </row>
    <row r="16" spans="1:8" ht="19.95" customHeight="1">
      <c r="A16" s="14" t="s">
        <v>43</v>
      </c>
      <c r="B16" s="61" t="s">
        <v>44</v>
      </c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 hidden="1">
      <c r="A18" s="2"/>
      <c r="B18" s="2"/>
      <c r="C18" s="2"/>
      <c r="D18" s="2"/>
      <c r="E18" s="2"/>
      <c r="F18" s="2"/>
      <c r="G18" s="2"/>
      <c r="H18" s="2"/>
    </row>
    <row r="19" spans="1:8" hidden="1">
      <c r="A19" s="2"/>
      <c r="B19" s="2"/>
      <c r="C19" s="2"/>
      <c r="D19" s="2"/>
      <c r="E19" s="2"/>
      <c r="F19" s="2"/>
      <c r="G19" s="2"/>
      <c r="H19" s="2"/>
    </row>
    <row r="20" spans="1:8" hidden="1">
      <c r="A20" s="2"/>
      <c r="B20" s="2"/>
      <c r="C20" s="2"/>
      <c r="D20" s="2"/>
      <c r="E20" s="2"/>
      <c r="F20" s="2"/>
      <c r="G20" s="2"/>
      <c r="H20" s="2"/>
    </row>
    <row r="21" spans="1:8" hidden="1">
      <c r="A21" s="2"/>
      <c r="B21" s="2"/>
      <c r="C21" s="2"/>
      <c r="D21" s="2"/>
      <c r="E21" s="2"/>
      <c r="F21" s="2"/>
      <c r="G21" s="2"/>
      <c r="H21" s="2"/>
    </row>
    <row r="22" spans="1:8" hidden="1">
      <c r="A22" s="2"/>
      <c r="B22" s="2"/>
      <c r="C22" s="2"/>
      <c r="D22" s="2"/>
      <c r="E22" s="2"/>
      <c r="F22" s="2"/>
      <c r="G22" s="2"/>
      <c r="H22" s="2"/>
    </row>
    <row r="23" spans="1:8" hidden="1">
      <c r="A23" s="2"/>
      <c r="B23" s="2"/>
      <c r="C23" s="2"/>
      <c r="D23" s="2"/>
      <c r="E23" s="2"/>
      <c r="F23" s="2"/>
      <c r="G23" s="2"/>
      <c r="H23" s="2"/>
    </row>
    <row r="24" spans="1:8" hidden="1">
      <c r="A24" s="2"/>
      <c r="B24" s="2"/>
      <c r="C24" s="2"/>
      <c r="D24" s="2"/>
      <c r="E24" s="2"/>
      <c r="F24" s="2"/>
      <c r="G24" s="2"/>
      <c r="H24" s="2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1A7B-2AD1-4E8C-8C69-B9C907A271C2}">
  <sheetPr>
    <tabColor rgb="FF2A2D35"/>
  </sheetPr>
  <dimension ref="A1:J40"/>
  <sheetViews>
    <sheetView showGridLines="0" workbookViewId="0"/>
  </sheetViews>
  <sheetFormatPr defaultColWidth="0" defaultRowHeight="16.8" zeroHeight="1"/>
  <cols>
    <col min="1" max="1" width="38.296875" style="1" customWidth="1"/>
    <col min="2" max="7" width="15.796875" style="1" customWidth="1"/>
    <col min="8" max="8" width="8.796875" style="1" customWidth="1"/>
    <col min="9" max="10" width="0" style="1" hidden="1"/>
    <col min="11" max="16384" width="8.796875" style="1" hidden="1"/>
  </cols>
  <sheetData>
    <row r="1" spans="1:10" ht="20.399999999999999">
      <c r="A1" s="65" t="s">
        <v>45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1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47</v>
      </c>
      <c r="B4" s="66" t="str">
        <f>Dashboard!F11</f>
        <v>Annualized Return</v>
      </c>
      <c r="C4" s="2"/>
      <c r="D4" s="2"/>
      <c r="E4" s="2"/>
      <c r="F4" s="2"/>
      <c r="G4" s="2"/>
      <c r="H4" s="2"/>
      <c r="I4" s="2"/>
      <c r="J4" s="2"/>
    </row>
    <row r="5" spans="1:10">
      <c r="A5" s="2" t="s">
        <v>48</v>
      </c>
      <c r="B5" s="66">
        <f>MATCH(B4,$A$10:$A$14,0)</f>
        <v>1</v>
      </c>
      <c r="C5" s="2"/>
      <c r="D5" s="2"/>
      <c r="E5" s="2"/>
      <c r="F5" s="2"/>
      <c r="G5" s="2"/>
      <c r="H5" s="2"/>
      <c r="I5" s="2"/>
      <c r="J5" s="2"/>
    </row>
    <row r="6" spans="1:10">
      <c r="A6" s="2" t="s">
        <v>49</v>
      </c>
      <c r="B6" s="66" cm="1">
        <f t="array" ref="B6">INDEX($C$10:$C$14,B5)</f>
        <v>0</v>
      </c>
      <c r="C6" s="2"/>
      <c r="D6" s="2"/>
      <c r="E6" s="2"/>
      <c r="F6" s="2"/>
      <c r="G6" s="2"/>
      <c r="H6" s="2"/>
      <c r="I6" s="2"/>
      <c r="J6" s="2"/>
    </row>
    <row r="7" spans="1:10">
      <c r="A7" s="2" t="s">
        <v>50</v>
      </c>
      <c r="B7" s="66" t="str">
        <f>Dashboard!C11</f>
        <v>AMZN</v>
      </c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56" t="s">
        <v>51</v>
      </c>
      <c r="B9" s="56" t="s">
        <v>52</v>
      </c>
      <c r="C9" s="56" t="s">
        <v>53</v>
      </c>
      <c r="D9" s="2"/>
      <c r="E9" s="2"/>
      <c r="F9" s="2"/>
      <c r="G9" s="2"/>
      <c r="H9" s="2"/>
      <c r="I9" s="2"/>
      <c r="J9" s="2"/>
    </row>
    <row r="10" spans="1:10">
      <c r="A10" s="2" t="s">
        <v>3</v>
      </c>
      <c r="B10" s="55" t="s">
        <v>54</v>
      </c>
      <c r="C10" s="55">
        <v>0</v>
      </c>
      <c r="D10" s="2"/>
      <c r="E10" s="2"/>
      <c r="F10" s="2"/>
      <c r="G10" s="2"/>
      <c r="H10" s="2"/>
      <c r="I10" s="2"/>
      <c r="J10" s="2"/>
    </row>
    <row r="11" spans="1:10">
      <c r="A11" s="2" t="s">
        <v>4</v>
      </c>
      <c r="B11" s="55" t="s">
        <v>55</v>
      </c>
      <c r="C11" s="55">
        <v>1</v>
      </c>
      <c r="D11" s="2"/>
      <c r="E11" s="2"/>
      <c r="F11" s="2"/>
      <c r="G11" s="2"/>
      <c r="H11" s="2"/>
      <c r="I11" s="2"/>
      <c r="J11" s="2"/>
    </row>
    <row r="12" spans="1:10">
      <c r="A12" s="2" t="s">
        <v>5</v>
      </c>
      <c r="B12" s="55" t="s">
        <v>54</v>
      </c>
      <c r="C12" s="55">
        <v>0</v>
      </c>
      <c r="D12" s="2"/>
      <c r="E12" s="2"/>
      <c r="F12" s="2"/>
      <c r="G12" s="2"/>
      <c r="H12" s="2"/>
      <c r="I12" s="2"/>
      <c r="J12" s="2"/>
    </row>
    <row r="13" spans="1:10">
      <c r="A13" s="2" t="s">
        <v>6</v>
      </c>
      <c r="B13" s="55" t="s">
        <v>54</v>
      </c>
      <c r="C13" s="55">
        <v>0</v>
      </c>
      <c r="D13" s="2"/>
      <c r="E13" s="2"/>
      <c r="F13" s="2"/>
      <c r="G13" s="2"/>
      <c r="H13" s="2"/>
      <c r="I13" s="2"/>
      <c r="J13" s="2"/>
    </row>
    <row r="14" spans="1:10">
      <c r="A14" s="2" t="s">
        <v>7</v>
      </c>
      <c r="B14" s="55" t="s">
        <v>54</v>
      </c>
      <c r="C14" s="55">
        <v>0</v>
      </c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7" t="s">
        <v>56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56" t="s">
        <v>57</v>
      </c>
      <c r="B18" s="56" t="s">
        <v>0</v>
      </c>
      <c r="C18" s="56" t="s">
        <v>8</v>
      </c>
      <c r="D18" s="56" t="s">
        <v>58</v>
      </c>
      <c r="E18" s="56" t="s">
        <v>59</v>
      </c>
      <c r="F18" s="56" t="s">
        <v>60</v>
      </c>
      <c r="G18" s="56" t="s">
        <v>61</v>
      </c>
      <c r="H18" s="2"/>
      <c r="I18" s="2"/>
      <c r="J18" s="2"/>
    </row>
    <row r="19" spans="1:10">
      <c r="A19" s="2">
        <v>1</v>
      </c>
      <c r="B19" s="2" t="str">
        <f>INDEX('Company Data'!$A$2:$A$6,MATCH(C19,INDEX('Company Data'!$D$2:$H$6,0,$B$5),0))</f>
        <v>NVDA</v>
      </c>
      <c r="C19" s="67">
        <f>IF($B$6=0,LARGE(INDEX('Company Data'!$D$2:$H$6,0,$B$5),A19),SMALL(INDEX('Company Data'!$D$2:$H$6,0,$B$5),A19))</f>
        <v>0.703627</v>
      </c>
      <c r="D19" s="34">
        <f>IF(OR($B$4="Sharpe Ratio",B19=$B$7),NA(),C19)</f>
        <v>0.703627</v>
      </c>
      <c r="E19" s="34" t="e">
        <f>IF(AND($B$4&lt;&gt;"Sharpe Ratio",B19=$B$7),C19,NA())</f>
        <v>#N/A</v>
      </c>
      <c r="F19" s="64" t="e">
        <f>IF(AND($B$4="Sharpe Ratio",B19&lt;&gt;$B$7),ROUND(C19,2),NA())</f>
        <v>#N/A</v>
      </c>
      <c r="G19" s="64" t="e">
        <f>IF(AND($B$4="Sharpe Ratio",B19=$B$7),ROUND(C19,2),NA())</f>
        <v>#N/A</v>
      </c>
      <c r="H19" s="2"/>
      <c r="I19" s="2"/>
      <c r="J19" s="2"/>
    </row>
    <row r="20" spans="1:10">
      <c r="A20" s="2">
        <v>2</v>
      </c>
      <c r="B20" s="2" t="str">
        <f>INDEX('Company Data'!$A$2:$A$6,MATCH(C20,INDEX('Company Data'!$D$2:$H$6,0,$B$5),0))</f>
        <v>GOOGL</v>
      </c>
      <c r="C20" s="67">
        <f>IF($B$6=0,LARGE(INDEX('Company Data'!$D$2:$H$6,0,$B$5),A20),SMALL(INDEX('Company Data'!$D$2:$H$6,0,$B$5),A20))</f>
        <v>0.29663099999999998</v>
      </c>
      <c r="D20" s="34">
        <f>IF(OR($B$4="Sharpe Ratio",B20=$B$7),NA(),C20)</f>
        <v>0.29663099999999998</v>
      </c>
      <c r="E20" s="34" t="e">
        <f>IF(AND($B$4&lt;&gt;"Sharpe Ratio",B20=$B$7),C20,NA())</f>
        <v>#N/A</v>
      </c>
      <c r="F20" s="64" t="e">
        <f>IF(AND($B$4="Sharpe Ratio",B20&lt;&gt;$B$7),ROUND(C20,2),NA())</f>
        <v>#N/A</v>
      </c>
      <c r="G20" s="64" t="e">
        <f>IF(AND($B$4="Sharpe Ratio",B20=$B$7),ROUND(C20,2),NA())</f>
        <v>#N/A</v>
      </c>
      <c r="H20" s="2"/>
      <c r="I20" s="2"/>
      <c r="J20" s="2"/>
    </row>
    <row r="21" spans="1:10">
      <c r="A21" s="2">
        <v>3</v>
      </c>
      <c r="B21" s="2" t="str">
        <f>INDEX('Company Data'!$A$2:$A$6,MATCH(C21,INDEX('Company Data'!$D$2:$H$6,0,$B$5),0))</f>
        <v>MSFT</v>
      </c>
      <c r="C21" s="67">
        <f>IF($B$6=0,LARGE(INDEX('Company Data'!$D$2:$H$6,0,$B$5),A21),SMALL(INDEX('Company Data'!$D$2:$H$6,0,$B$5),A21))</f>
        <v>0.18328900000000001</v>
      </c>
      <c r="D21" s="34">
        <f>IF(OR($B$4="Sharpe Ratio",B21=$B$7),NA(),C21)</f>
        <v>0.18328900000000001</v>
      </c>
      <c r="E21" s="34" t="e">
        <f>IF(AND($B$4&lt;&gt;"Sharpe Ratio",B21=$B$7),C21,NA())</f>
        <v>#N/A</v>
      </c>
      <c r="F21" s="64" t="e">
        <f>IF(AND($B$4="Sharpe Ratio",B21&lt;&gt;$B$7),ROUND(C21,2),NA())</f>
        <v>#N/A</v>
      </c>
      <c r="G21" s="64" t="e">
        <f>IF(AND($B$4="Sharpe Ratio",B21=$B$7),ROUND(C21,2),NA())</f>
        <v>#N/A</v>
      </c>
      <c r="H21" s="2"/>
      <c r="I21" s="2"/>
      <c r="J21" s="2"/>
    </row>
    <row r="22" spans="1:10">
      <c r="A22" s="2">
        <v>4</v>
      </c>
      <c r="B22" s="2" t="str">
        <f>INDEX('Company Data'!$A$2:$A$6,MATCH(C22,INDEX('Company Data'!$D$2:$H$6,0,$B$5),0))</f>
        <v>AAPL</v>
      </c>
      <c r="C22" s="67">
        <f>IF($B$6=0,LARGE(INDEX('Company Data'!$D$2:$H$6,0,$B$5),A22),SMALL(INDEX('Company Data'!$D$2:$H$6,0,$B$5),A22))</f>
        <v>0.16672500000000001</v>
      </c>
      <c r="D22" s="34">
        <f>IF(OR($B$4="Sharpe Ratio",B22=$B$7),NA(),C22)</f>
        <v>0.16672500000000001</v>
      </c>
      <c r="E22" s="34" t="e">
        <f>IF(AND($B$4&lt;&gt;"Sharpe Ratio",B22=$B$7),C22,NA())</f>
        <v>#N/A</v>
      </c>
      <c r="F22" s="64" t="e">
        <f>IF(AND($B$4="Sharpe Ratio",B22&lt;&gt;$B$7),ROUND(C22,2),NA())</f>
        <v>#N/A</v>
      </c>
      <c r="G22" s="64" t="e">
        <f>IF(AND($B$4="Sharpe Ratio",B22=$B$7),ROUND(C22,2),NA())</f>
        <v>#N/A</v>
      </c>
      <c r="H22" s="2"/>
      <c r="I22" s="2"/>
      <c r="J22" s="2"/>
    </row>
    <row r="23" spans="1:10">
      <c r="A23" s="2">
        <v>5</v>
      </c>
      <c r="B23" s="2" t="str">
        <f>INDEX('Company Data'!$A$2:$A$6,MATCH(C23,INDEX('Company Data'!$D$2:$H$6,0,$B$5),0))</f>
        <v>AMZN</v>
      </c>
      <c r="C23" s="67">
        <f>IF($B$6=0,LARGE(INDEX('Company Data'!$D$2:$H$6,0,$B$5),A23),SMALL(INDEX('Company Data'!$D$2:$H$6,0,$B$5),A23))</f>
        <v>7.7132999999999993E-2</v>
      </c>
      <c r="D23" s="34" t="e">
        <f>IF(OR($B$4="Sharpe Ratio",B23=$B$7),NA(),C23)</f>
        <v>#N/A</v>
      </c>
      <c r="E23" s="34">
        <f>IF(AND($B$4&lt;&gt;"Sharpe Ratio",B23=$B$7),C23,NA())</f>
        <v>7.7132999999999993E-2</v>
      </c>
      <c r="F23" s="64" t="e">
        <f>IF(AND($B$4="Sharpe Ratio",B23&lt;&gt;$B$7),ROUND(C23,2),NA())</f>
        <v>#N/A</v>
      </c>
      <c r="G23" s="64" t="e">
        <f>IF(AND($B$4="Sharpe Ratio",B23=$B$7),ROUND(C23,2),NA())</f>
        <v>#N/A</v>
      </c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7" t="s">
        <v>62</v>
      </c>
      <c r="B26" s="56" t="s">
        <v>28</v>
      </c>
      <c r="C26" s="56" t="s">
        <v>63</v>
      </c>
      <c r="D26" s="2"/>
      <c r="E26" s="2"/>
      <c r="F26" s="2"/>
      <c r="G26" s="2"/>
      <c r="H26" s="2"/>
      <c r="I26" s="2"/>
      <c r="J26" s="2"/>
    </row>
    <row r="27" spans="1:10">
      <c r="A27" s="2" t="str">
        <f>B7</f>
        <v>AMZN</v>
      </c>
      <c r="B27" s="34">
        <f>INDEX('Company Data'!$E$2:$E$6,MATCH($B$7,'Company Data'!$A$2:$A$6,0))</f>
        <v>0.35105999999999998</v>
      </c>
      <c r="C27" s="34">
        <f>INDEX('Company Data'!$D$2:$D$6,MATCH($B$7,'Company Data'!$A$2:$A$6,0))</f>
        <v>7.7132999999999993E-2</v>
      </c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7" t="s">
        <v>64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56" t="s">
        <v>51</v>
      </c>
      <c r="B31" s="56" t="s">
        <v>65</v>
      </c>
      <c r="C31" s="56" t="s">
        <v>66</v>
      </c>
      <c r="D31" s="56" t="s">
        <v>67</v>
      </c>
      <c r="E31" s="56" t="s">
        <v>68</v>
      </c>
      <c r="F31" s="56" t="s">
        <v>69</v>
      </c>
      <c r="G31" s="56" t="s">
        <v>70</v>
      </c>
      <c r="H31" s="2"/>
      <c r="I31" s="2"/>
      <c r="J31" s="2"/>
    </row>
    <row r="32" spans="1:10">
      <c r="A32" s="2" t="s">
        <v>3</v>
      </c>
      <c r="B32" s="67">
        <f>INDEX('Company Data'!$D$2:$H$6,MATCH($B$7,'Company Data'!$A$2:$A$6,0),MATCH($A32,'Company Data'!$D$1:$H$1,0))</f>
        <v>7.7132999999999993E-2</v>
      </c>
      <c r="C32" s="67">
        <f>AVERAGE(INDEX('Company Data'!$D$2:$H$6,0,MATCH($A32,'Company Data'!$D$1:$H$1,0)))</f>
        <v>0.28548099999999998</v>
      </c>
      <c r="D32" s="67">
        <f>IF(INDEX($B$10:$B$14,MATCH($A32,$A$10:$A$14,0))="Yes",MAX(INDEX('Company Data'!$D$2:$H$6,0,MATCH($A32,'Company Data'!$D$1:$H$1,0))),MIN(INDEX('Company Data'!$D$2:$H$6,0,MATCH($A32,'Company Data'!$D$1:$H$1,0))))</f>
        <v>0.703627</v>
      </c>
      <c r="E32" s="64">
        <f>IF(INDEX($B$10:$B$14,MATCH($A32,$A$10:$A$14,0))="Yes",B32/D32,D32/B32)</f>
        <v>0.10962200142973477</v>
      </c>
      <c r="F32" s="64">
        <f>IF(INDEX($B$10:$B$14,MATCH($A32,$A$10:$A$14,0))="Yes",C32/D32,D32/C32)</f>
        <v>0.40572775064060929</v>
      </c>
      <c r="G32" s="2" t="s">
        <v>63</v>
      </c>
      <c r="H32" s="2"/>
      <c r="I32" s="2"/>
      <c r="J32" s="2"/>
    </row>
    <row r="33" spans="1:10">
      <c r="A33" s="2" t="s">
        <v>4</v>
      </c>
      <c r="B33" s="67">
        <f>INDEX('Company Data'!$D$2:$H$6,MATCH($B$7,'Company Data'!$A$2:$A$6,0),MATCH($A33,'Company Data'!$D$1:$H$1,0))</f>
        <v>0.35105999999999998</v>
      </c>
      <c r="C33" s="67">
        <f>AVERAGE(INDEX('Company Data'!$D$2:$H$6,0,MATCH($A33,'Company Data'!$D$1:$H$1,0)))</f>
        <v>0.34410620000000003</v>
      </c>
      <c r="D33" s="67">
        <f>IF(INDEX($B$10:$B$14,MATCH($A33,$A$10:$A$14,0))="Yes",MAX(INDEX('Company Data'!$D$2:$H$6,0,MATCH($A33,'Company Data'!$D$1:$H$1,0))),MIN(INDEX('Company Data'!$D$2:$H$6,0,MATCH($A33,'Company Data'!$D$1:$H$1,0))))</f>
        <v>0.25714300000000001</v>
      </c>
      <c r="E33" s="64">
        <f>IF(INDEX($B$10:$B$14,MATCH($A33,$A$10:$A$14,0))="Yes",B33/D33,D33/B33)</f>
        <v>0.73247593004044897</v>
      </c>
      <c r="F33" s="64">
        <f>IF(INDEX($B$10:$B$14,MATCH($A33,$A$10:$A$14,0))="Yes",C33/D33,D33/C33)</f>
        <v>0.74727802056458148</v>
      </c>
      <c r="G33" s="2" t="s">
        <v>71</v>
      </c>
      <c r="H33" s="2"/>
      <c r="I33" s="2"/>
      <c r="J33" s="2"/>
    </row>
    <row r="34" spans="1:10">
      <c r="A34" s="2" t="s">
        <v>5</v>
      </c>
      <c r="B34" s="67">
        <f>INDEX('Company Data'!$D$2:$H$6,MATCH($B$7,'Company Data'!$A$2:$A$6,0),MATCH($A34,'Company Data'!$D$1:$H$1,0))</f>
        <v>0.13425999999999999</v>
      </c>
      <c r="C34" s="67">
        <f>AVERAGE(INDEX('Company Data'!$D$2:$H$6,0,MATCH($A34,'Company Data'!$D$1:$H$1,0)))</f>
        <v>0.6734074000000001</v>
      </c>
      <c r="D34" s="67">
        <f>IF(INDEX($B$10:$B$14,MATCH($A34,$A$10:$A$14,0))="Yes",MAX(INDEX('Company Data'!$D$2:$H$6,0,MATCH($A34,'Company Data'!$D$1:$H$1,0))),MIN(INDEX('Company Data'!$D$2:$H$6,0,MATCH($A34,'Company Data'!$D$1:$H$1,0))))</f>
        <v>1.289863</v>
      </c>
      <c r="E34" s="64">
        <f>IF(INDEX($B$10:$B$14,MATCH($A34,$A$10:$A$14,0))="Yes",B34/D34,D34/B34)</f>
        <v>0.1040885737477546</v>
      </c>
      <c r="F34" s="64">
        <f>IF(INDEX($B$10:$B$14,MATCH($A34,$A$10:$A$14,0))="Yes",C34/D34,D34/C34)</f>
        <v>0.52207668566351628</v>
      </c>
      <c r="G34" s="2" t="s">
        <v>72</v>
      </c>
      <c r="H34" s="2"/>
      <c r="I34" s="2"/>
      <c r="J34" s="2"/>
    </row>
    <row r="35" spans="1:10">
      <c r="A35" s="2" t="s">
        <v>6</v>
      </c>
      <c r="B35" s="67">
        <f>INDEX('Company Data'!$D$2:$H$6,MATCH($B$7,'Company Data'!$A$2:$A$6,0),MATCH($A35,'Company Data'!$D$1:$H$1,0))</f>
        <v>0.117313</v>
      </c>
      <c r="C35" s="67">
        <f>AVERAGE(INDEX('Company Data'!$D$2:$H$6,0,MATCH($A35,'Company Data'!$D$1:$H$1,0)))</f>
        <v>0.28444919999999996</v>
      </c>
      <c r="D35" s="67">
        <f>IF(INDEX($B$10:$B$14,MATCH($A35,$A$10:$A$14,0))="Yes",MAX(INDEX('Company Data'!$D$2:$H$6,0,MATCH($A35,'Company Data'!$D$1:$H$1,0))),MIN(INDEX('Company Data'!$D$2:$H$6,0,MATCH($A35,'Company Data'!$D$1:$H$1,0))))</f>
        <v>1.000451</v>
      </c>
      <c r="E35" s="64">
        <f>IF(INDEX($B$10:$B$14,MATCH($A35,$A$10:$A$14,0))="Yes",B35/D35,D35/B35)</f>
        <v>0.1172601156878248</v>
      </c>
      <c r="F35" s="64">
        <f>IF(INDEX($B$10:$B$14,MATCH($A35,$A$10:$A$14,0))="Yes",C35/D35,D35/C35)</f>
        <v>0.28432097124196981</v>
      </c>
      <c r="G35" s="2" t="s">
        <v>73</v>
      </c>
      <c r="H35" s="2"/>
      <c r="I35" s="2"/>
      <c r="J35" s="2"/>
    </row>
    <row r="36" spans="1:10">
      <c r="A36" s="2" t="s">
        <v>7</v>
      </c>
      <c r="B36" s="67">
        <f>INDEX('Company Data'!$D$2:$H$6,MATCH($B$7,'Company Data'!$A$2:$A$6,0),MATCH($A36,'Company Data'!$D$1:$H$1,0))</f>
        <v>0.111553</v>
      </c>
      <c r="C36" s="67">
        <f>AVERAGE(INDEX('Company Data'!$D$2:$H$6,0,MATCH($A36,'Company Data'!$D$1:$H$1,0)))</f>
        <v>0.36464240000000003</v>
      </c>
      <c r="D36" s="67">
        <f>IF(INDEX($B$10:$B$14,MATCH($A36,$A$10:$A$14,0))="Yes",MAX(INDEX('Company Data'!$D$2:$H$6,0,MATCH($A36,'Company Data'!$D$1:$H$1,0))),MIN(INDEX('Company Data'!$D$2:$H$6,0,MATCH($A36,'Company Data'!$D$1:$H$1,0))))</f>
        <v>0.60381700000000005</v>
      </c>
      <c r="E36" s="64">
        <f>IF(INDEX($B$10:$B$14,MATCH($A36,$A$10:$A$14,0))="Yes",B36/D36,D36/B36)</f>
        <v>0.18474637183120049</v>
      </c>
      <c r="F36" s="64">
        <f>IF(INDEX($B$10:$B$14,MATCH($A36,$A$10:$A$14,0))="Yes",C36/D36,D36/C36)</f>
        <v>0.60389555113552618</v>
      </c>
      <c r="G36" s="2" t="s">
        <v>74</v>
      </c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idden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idden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idden="1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Company Data</vt:lpstr>
      <vt:lpstr>Notes</vt:lpstr>
      <vt:lpstr>Chart 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de Vathaire Moragues</cp:lastModifiedBy>
  <dcterms:created xsi:type="dcterms:W3CDTF">2026-10-02T17:15:17Z</dcterms:created>
  <dcterms:modified xsi:type="dcterms:W3CDTF">2026-10-02T17:15:18Z</dcterms:modified>
</cp:coreProperties>
</file>